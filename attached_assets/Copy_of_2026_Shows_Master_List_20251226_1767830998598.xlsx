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albersaerospace-my.sharepoint.us/personal/gjames_albers_aero/Documents/Documents/Delete/"/>
    </mc:Choice>
  </mc:AlternateContent>
  <xr:revisionPtr revIDLastSave="0" documentId="8_{05819D86-2FF9-4261-8A59-6AB3D1272F20}" xr6:coauthVersionLast="47" xr6:coauthVersionMax="47" xr10:uidLastSave="{00000000-0000-0000-0000-000000000000}"/>
  <bookViews>
    <workbookView xWindow="-120" yWindow="-120" windowWidth="29040" windowHeight="15720" xr2:uid="{FB63FE66-B514-400E-884E-FBD6842B5117}"/>
  </bookViews>
  <sheets>
    <sheet name="Show List" sheetId="2" r:id="rId1"/>
    <sheet name="Data Lists" sheetId="3" r:id="rId2"/>
    <sheet name="Original" sheetId="1" r:id="rId3"/>
  </sheets>
  <definedNames>
    <definedName name="_xlnm._FilterDatabase" localSheetId="0" hidden="1">'Show List'!$A$1:$AD$52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2" i="2" l="1"/>
  <c r="Z36" i="2"/>
  <c r="S36" i="2"/>
  <c r="Z16" i="2"/>
  <c r="Z21" i="2"/>
  <c r="Z33" i="2"/>
  <c r="Z11" i="2"/>
  <c r="Z35" i="2"/>
  <c r="Z9" i="2"/>
  <c r="Z15" i="2"/>
  <c r="Z30" i="2"/>
  <c r="Z17" i="2"/>
  <c r="Z39" i="2"/>
  <c r="Z34" i="2"/>
  <c r="Z13" i="2"/>
  <c r="Z29" i="2"/>
  <c r="Z5" i="2"/>
  <c r="Z19" i="2"/>
  <c r="Z37" i="2"/>
  <c r="Z44" i="2"/>
  <c r="Z23" i="2"/>
  <c r="Z45" i="2"/>
  <c r="Z27" i="2"/>
  <c r="Z28" i="2"/>
  <c r="Z46" i="2"/>
  <c r="Z43" i="2"/>
  <c r="Z2" i="2"/>
  <c r="Z48" i="2"/>
  <c r="Z18" i="2"/>
  <c r="Z38" i="2"/>
  <c r="Z26" i="2"/>
  <c r="Z32" i="2"/>
  <c r="Z42" i="2"/>
  <c r="Z7" i="2"/>
  <c r="Z24" i="2"/>
  <c r="Z20" i="2"/>
  <c r="Z10" i="2"/>
  <c r="Z6" i="2"/>
  <c r="Z22" i="2"/>
  <c r="Z31" i="2"/>
  <c r="Z49" i="2"/>
  <c r="Z4" i="2"/>
  <c r="Z47" i="2"/>
  <c r="Z12" i="2"/>
  <c r="Z25" i="2"/>
  <c r="Z41" i="2"/>
  <c r="Z40" i="2"/>
  <c r="Z8" i="2"/>
  <c r="Z3" i="2"/>
  <c r="Z50" i="2"/>
  <c r="Z51" i="2"/>
  <c r="S16" i="2"/>
  <c r="S21" i="2"/>
  <c r="S33" i="2"/>
  <c r="S11" i="2"/>
  <c r="S35" i="2"/>
  <c r="S9" i="2"/>
  <c r="S15" i="2"/>
  <c r="S30" i="2"/>
  <c r="S17" i="2"/>
  <c r="S39" i="2"/>
  <c r="S34" i="2"/>
  <c r="S13" i="2"/>
  <c r="S29" i="2"/>
  <c r="S5" i="2"/>
  <c r="S19" i="2"/>
  <c r="S37" i="2"/>
  <c r="S44" i="2"/>
  <c r="S23" i="2"/>
  <c r="S45" i="2"/>
  <c r="S27" i="2"/>
  <c r="S28" i="2"/>
  <c r="S46" i="2"/>
  <c r="S43" i="2"/>
  <c r="S2" i="2"/>
  <c r="S48" i="2"/>
  <c r="S18" i="2"/>
  <c r="S38" i="2"/>
  <c r="S26" i="2"/>
  <c r="S32" i="2"/>
  <c r="S42" i="2"/>
  <c r="S7" i="2"/>
  <c r="S24" i="2"/>
  <c r="S20" i="2"/>
  <c r="S10" i="2"/>
  <c r="S6" i="2"/>
  <c r="S22" i="2"/>
  <c r="S31" i="2"/>
  <c r="S49" i="2"/>
  <c r="S4" i="2"/>
  <c r="S47" i="2"/>
  <c r="S12" i="2"/>
  <c r="S25" i="2"/>
  <c r="S41" i="2"/>
  <c r="S40" i="2"/>
  <c r="S8" i="2"/>
  <c r="S3" i="2"/>
  <c r="S50" i="2"/>
  <c r="S51" i="2"/>
  <c r="S14" i="2"/>
  <c r="AC52" i="2" l="1"/>
  <c r="Z14" i="2"/>
  <c r="AB14" i="2" l="1"/>
  <c r="AB52" i="2" s="1"/>
  <c r="H52" i="1"/>
</calcChain>
</file>

<file path=xl/sharedStrings.xml><?xml version="1.0" encoding="utf-8"?>
<sst xmlns="http://schemas.openxmlformats.org/spreadsheetml/2006/main" count="620" uniqueCount="265">
  <si>
    <t>Show</t>
  </si>
  <si>
    <t>Date</t>
  </si>
  <si>
    <t>Vertical</t>
  </si>
  <si>
    <t>Booth or Attend</t>
  </si>
  <si>
    <t xml:space="preserve">Booth Number </t>
  </si>
  <si>
    <t>Cost of Show</t>
  </si>
  <si>
    <t># Of People</t>
  </si>
  <si>
    <t xml:space="preserve">Projected Total Cost </t>
  </si>
  <si>
    <r>
      <rPr>
        <b/>
        <sz val="11"/>
        <color theme="9"/>
        <rFont val="Neue Haas Grotesk Text Pro"/>
        <family val="2"/>
        <scheme val="minor"/>
      </rPr>
      <t>Green</t>
    </r>
    <r>
      <rPr>
        <b/>
        <sz val="11"/>
        <color theme="1"/>
        <rFont val="Neue Haas Grotesk Text Pro"/>
        <family val="2"/>
        <scheme val="minor"/>
      </rPr>
      <t xml:space="preserve">= Paid </t>
    </r>
  </si>
  <si>
    <t>Sea, Air and Space</t>
  </si>
  <si>
    <t>April 19-22</t>
  </si>
  <si>
    <t>Booth</t>
  </si>
  <si>
    <t>Sponsorship Spot</t>
  </si>
  <si>
    <t>Modern Day Marine</t>
  </si>
  <si>
    <t>April 28-30</t>
  </si>
  <si>
    <t>SOF Week</t>
  </si>
  <si>
    <t>May 18-21</t>
  </si>
  <si>
    <t>Air, Space and Cyber</t>
  </si>
  <si>
    <t>Sep 14-16</t>
  </si>
  <si>
    <t xml:space="preserve">NDIA Future Force Capabilities </t>
  </si>
  <si>
    <t xml:space="preserve">Industrials Proposed Shows </t>
  </si>
  <si>
    <t>PB Expo</t>
  </si>
  <si>
    <t>March 11-March 12</t>
  </si>
  <si>
    <t>Industrials</t>
  </si>
  <si>
    <t>Attend</t>
  </si>
  <si>
    <t>MRO Americas</t>
  </si>
  <si>
    <t>April 21-April 23</t>
  </si>
  <si>
    <t>EAA AirVenture</t>
  </si>
  <si>
    <t>July 20-July 26</t>
  </si>
  <si>
    <t>ACPC</t>
  </si>
  <si>
    <t>Aug29-Sep 1st</t>
  </si>
  <si>
    <t>MRO Europe</t>
  </si>
  <si>
    <t>OCT 27- Oct 29</t>
  </si>
  <si>
    <t>IMTS</t>
  </si>
  <si>
    <t>Sep 14- Sep 19</t>
  </si>
  <si>
    <t xml:space="preserve">Defense Proposed Shows </t>
  </si>
  <si>
    <t>Joint Fires Summit</t>
  </si>
  <si>
    <t>18-19 Feb 2026</t>
  </si>
  <si>
    <t>Defense</t>
  </si>
  <si>
    <t>N/A</t>
  </si>
  <si>
    <t>Farnborough International Air Show</t>
  </si>
  <si>
    <t>20-24 Jul 2026</t>
  </si>
  <si>
    <t>Special Warfare Symposium</t>
  </si>
  <si>
    <t>10-12 Feb 2026</t>
  </si>
  <si>
    <t>MCAA</t>
  </si>
  <si>
    <t>11-14 May</t>
  </si>
  <si>
    <t>TBD</t>
  </si>
  <si>
    <t>SOFEX (Jordan)</t>
  </si>
  <si>
    <t>27-29 Oct</t>
  </si>
  <si>
    <t>TAS</t>
  </si>
  <si>
    <t>AeroDef</t>
  </si>
  <si>
    <t xml:space="preserve">April 14- 16 </t>
  </si>
  <si>
    <t xml:space="preserve">AUSA Global force </t>
  </si>
  <si>
    <t>Advanced Programs Proposed Shows</t>
  </si>
  <si>
    <t>All</t>
  </si>
  <si>
    <t>DEFEA</t>
  </si>
  <si>
    <t>6-8 May</t>
  </si>
  <si>
    <t>African Air Forces Forum</t>
  </si>
  <si>
    <t>22-23 May</t>
  </si>
  <si>
    <t>Paris Show</t>
  </si>
  <si>
    <t>16-22 June</t>
  </si>
  <si>
    <t>F-AIR Columbia</t>
  </si>
  <si>
    <t>9-13 July</t>
  </si>
  <si>
    <t>APSCON Phoenix</t>
  </si>
  <si>
    <t>14-18 July</t>
  </si>
  <si>
    <t>DUBAI Air Show</t>
  </si>
  <si>
    <t>17-21 Nov</t>
  </si>
  <si>
    <t>Egypt Defence Expo</t>
  </si>
  <si>
    <t>1-4 Dec</t>
  </si>
  <si>
    <t>Advanved Programs</t>
  </si>
  <si>
    <t xml:space="preserve">AUSA Annual Meeting and Exposition </t>
  </si>
  <si>
    <t>12-14 October</t>
  </si>
  <si>
    <t xml:space="preserve">24-26 March </t>
  </si>
  <si>
    <t xml:space="preserve">Loitering Munitions USA </t>
  </si>
  <si>
    <t xml:space="preserve">13-14 May </t>
  </si>
  <si>
    <t xml:space="preserve">8-11 June </t>
  </si>
  <si>
    <t xml:space="preserve">Munitions Executive Summit </t>
  </si>
  <si>
    <t xml:space="preserve">17-18 March </t>
  </si>
  <si>
    <r>
      <t>36</t>
    </r>
    <r>
      <rPr>
        <vertAlign val="superscript"/>
        <sz val="11"/>
        <color theme="1"/>
        <rFont val="Aptos"/>
        <family val="2"/>
      </rPr>
      <t>th</t>
    </r>
    <r>
      <rPr>
        <sz val="11"/>
        <color theme="1"/>
        <rFont val="Aptos"/>
        <family val="2"/>
      </rPr>
      <t xml:space="preserve"> Annual NDIA Special Operations Symposium </t>
    </r>
  </si>
  <si>
    <t xml:space="preserve">17-18 February </t>
  </si>
  <si>
    <t>AIA  Board of Governors &amp; Membership Meeting  </t>
  </si>
  <si>
    <t>2x per year</t>
  </si>
  <si>
    <t>Space and Missile Defense Symposium</t>
  </si>
  <si>
    <t>August 5-6</t>
  </si>
  <si>
    <t xml:space="preserve">Ballistics and Warhead Classified Conference </t>
  </si>
  <si>
    <t xml:space="preserve">Air Force and SOF Special Air Warfare Symposium </t>
  </si>
  <si>
    <t xml:space="preserve">AFA Warfare </t>
  </si>
  <si>
    <t>AP and TAS</t>
  </si>
  <si>
    <t>February 10-12</t>
  </si>
  <si>
    <t xml:space="preserve">February 23-25 </t>
  </si>
  <si>
    <t>(recco send 1 person no booth)</t>
  </si>
  <si>
    <t>(recco 2027 no booth)</t>
  </si>
  <si>
    <t>Rich view ( KeepY/N)</t>
  </si>
  <si>
    <t>Rich Notes</t>
  </si>
  <si>
    <t>BSSG association</t>
  </si>
  <si>
    <t>Advanced Programs</t>
  </si>
  <si>
    <t>35 shows</t>
  </si>
  <si>
    <t>april??</t>
  </si>
  <si>
    <t>INCOSE IW</t>
  </si>
  <si>
    <t>INCOSE IS</t>
  </si>
  <si>
    <t>MCSS Dassault</t>
  </si>
  <si>
    <t>NDIA Systems &amp; Mission Engineering</t>
  </si>
  <si>
    <t>Digital Engineering for Defense Summit</t>
  </si>
  <si>
    <t>INCOSE Western States Regional Conference</t>
  </si>
  <si>
    <t>I/ITSEC</t>
  </si>
  <si>
    <t>31 Jan - 3 Feb</t>
  </si>
  <si>
    <t>13 Jun - 18 June</t>
  </si>
  <si>
    <t>Late October 2026</t>
  </si>
  <si>
    <t>Late June 2026</t>
  </si>
  <si>
    <t>Mid September 2026</t>
  </si>
  <si>
    <t>Early December</t>
  </si>
  <si>
    <t>MBSE</t>
  </si>
  <si>
    <t>23 shows</t>
  </si>
  <si>
    <t>2026 AOP budget</t>
  </si>
  <si>
    <t>ASK</t>
  </si>
  <si>
    <t>AOP</t>
  </si>
  <si>
    <t>yes</t>
  </si>
  <si>
    <t>no booth, send 2 folks</t>
  </si>
  <si>
    <t>booth</t>
  </si>
  <si>
    <t>booth in 26, cut in 27</t>
  </si>
  <si>
    <t xml:space="preserve">booth  </t>
  </si>
  <si>
    <t>"earning credits to be able to get a booth"</t>
  </si>
  <si>
    <t>attend everywhere we have booth for 2026</t>
  </si>
  <si>
    <t>11 shows</t>
  </si>
  <si>
    <t>keep same budget and increase mkt and booth size for shows (where we can) in 2026.  reduce more in 27, add AAAA?</t>
  </si>
  <si>
    <t>Location</t>
  </si>
  <si>
    <t>Attendance Type</t>
  </si>
  <si>
    <t>Conference Room</t>
  </si>
  <si>
    <t>Attend Only</t>
  </si>
  <si>
    <t>Full Participation</t>
  </si>
  <si>
    <t>No Booth, but get a Conference Room for meetings</t>
  </si>
  <si>
    <t>Attend only. Walk Floor and attend conferences/meetings</t>
  </si>
  <si>
    <t>None</t>
  </si>
  <si>
    <t>Approved</t>
  </si>
  <si>
    <t>Budget/Business Owner</t>
  </si>
  <si>
    <t>Corporate</t>
  </si>
  <si>
    <t>Defines the type of attendance in the show/conference/symposium</t>
  </si>
  <si>
    <t>Defines which group will pay for the show/conference/symposium. Budget Owner is responsible for ALL coordination activties/charges.</t>
  </si>
  <si>
    <t>Aviation Services</t>
  </si>
  <si>
    <t>Unmanned Systems</t>
  </si>
  <si>
    <t>Manufacturing</t>
  </si>
  <si>
    <t>Containers</t>
  </si>
  <si>
    <t>Munitions</t>
  </si>
  <si>
    <t>Start Date</t>
  </si>
  <si>
    <t>End Date</t>
  </si>
  <si>
    <t>National Harbor, MD</t>
  </si>
  <si>
    <t>Washington, DC</t>
  </si>
  <si>
    <t>Booth Size</t>
  </si>
  <si>
    <t>Sponsorship Level</t>
  </si>
  <si>
    <t>Sponsorship Cost</t>
  </si>
  <si>
    <t>Tampa, FL</t>
  </si>
  <si>
    <t>Hunstville, AL</t>
  </si>
  <si>
    <t>Eurosatory</t>
  </si>
  <si>
    <t>Paris, France</t>
  </si>
  <si>
    <t>Quad A Cribbins Futures Forum</t>
  </si>
  <si>
    <t>Quad A Army Aviation Summit</t>
  </si>
  <si>
    <t>Nashville, TN</t>
  </si>
  <si>
    <t>Huntsville, AL</t>
  </si>
  <si>
    <t>Miami, FL</t>
  </si>
  <si>
    <t>Orlando, FL</t>
  </si>
  <si>
    <t>Oshkosh, WI</t>
  </si>
  <si>
    <t>PartsBase Expo</t>
  </si>
  <si>
    <t>Air Carriers Purchasing Conference</t>
  </si>
  <si>
    <t>Amsterdam, The Netherlands</t>
  </si>
  <si>
    <t>Info Website</t>
  </si>
  <si>
    <t>International Manufacturing Technology Show</t>
  </si>
  <si>
    <t>Chicago, IL</t>
  </si>
  <si>
    <t>Yes</t>
  </si>
  <si>
    <t>No</t>
  </si>
  <si>
    <t>Booth Cost</t>
  </si>
  <si>
    <t>Reservation Paid</t>
  </si>
  <si>
    <t>Airfare Est</t>
  </si>
  <si>
    <t>Lodging</t>
  </si>
  <si>
    <r>
      <t>36</t>
    </r>
    <r>
      <rPr>
        <vertAlign val="superscript"/>
        <sz val="10"/>
        <color theme="1"/>
        <rFont val="Aptos"/>
        <family val="2"/>
      </rPr>
      <t>th</t>
    </r>
    <r>
      <rPr>
        <sz val="10"/>
        <color theme="1"/>
        <rFont val="Aptos"/>
        <family val="2"/>
      </rPr>
      <t xml:space="preserve"> Annual NDIA Special Operations Symposium </t>
    </r>
  </si>
  <si>
    <t>Budget/
Business Owner</t>
  </si>
  <si>
    <t>Sponsorship Approved</t>
  </si>
  <si>
    <t>Show Cost</t>
  </si>
  <si>
    <t>Est Travel Cost</t>
  </si>
  <si>
    <t>Daily Per Diem + MI&amp;E</t>
  </si>
  <si>
    <t>Other Travel Est.</t>
  </si>
  <si>
    <t>Daily Rental Car Est</t>
  </si>
  <si>
    <t># Days TDY</t>
  </si>
  <si>
    <t>Notes</t>
  </si>
  <si>
    <t>4/16/206</t>
  </si>
  <si>
    <t>Totals</t>
  </si>
  <si>
    <t>Approved Shows</t>
  </si>
  <si>
    <t>AeroDef Manufacturing Showcase</t>
  </si>
  <si>
    <t>Boston, MA</t>
  </si>
  <si>
    <t>Mechanical Contractors Association of America</t>
  </si>
  <si>
    <t>Pheonix, AZ</t>
  </si>
  <si>
    <t xml:space="preserve">Amman, Jordan </t>
  </si>
  <si>
    <t>Defense Exhibition Athens (DEFEA)</t>
  </si>
  <si>
    <t>Athens, Greece</t>
  </si>
  <si>
    <t>Lagos</t>
  </si>
  <si>
    <t>Destin, FL</t>
  </si>
  <si>
    <t>Schedule At-A-Glance - Special Air Warfare Symposium</t>
  </si>
  <si>
    <t>SOFEX Jordan 2026</t>
  </si>
  <si>
    <t>Farnborough International Airshow | Farnborough International Airshow</t>
  </si>
  <si>
    <t>Farnborough, UK</t>
  </si>
  <si>
    <t>Le Bourget, France</t>
  </si>
  <si>
    <t>Home - SIAE</t>
  </si>
  <si>
    <t>Airborne Public Safety Conference (APSCON)</t>
  </si>
  <si>
    <t>Ft Lauderdale, FL</t>
  </si>
  <si>
    <t>APSCON/APSCON Unmanned 2026 | Ft. Lauderdale, FL - Airborne Public Safety Association</t>
  </si>
  <si>
    <t>Dubai, UAE</t>
  </si>
  <si>
    <t>Dubai Airshow | 15 - 19 November 2027, DWC, Dubai Airshow Site</t>
  </si>
  <si>
    <t>Welcome to EDEX 2025</t>
  </si>
  <si>
    <t>Cairo, Egypt</t>
  </si>
  <si>
    <t>International Workshop 2026</t>
  </si>
  <si>
    <t>Torrance, CA</t>
  </si>
  <si>
    <t>Int'l Council on Systems Engineer Int'l Workshop (IW)</t>
  </si>
  <si>
    <t>Int'l Council on Systems Engineer Int'l Symposium (IS)</t>
  </si>
  <si>
    <t>6/13/206</t>
  </si>
  <si>
    <t>Yokohama, Japan</t>
  </si>
  <si>
    <t>International Symposium 2026</t>
  </si>
  <si>
    <t>Info Verified</t>
  </si>
  <si>
    <t>World Defense Show</t>
  </si>
  <si>
    <t>Riyadh, Saudi Arabia</t>
  </si>
  <si>
    <t>Tampa, Fl</t>
  </si>
  <si>
    <t>Digital Engineering for Defense Summit | DSI Group</t>
  </si>
  <si>
    <t>Seattle, WA</t>
  </si>
  <si>
    <t>Discover the Future of Simulation at I/ITSEC 2025</t>
  </si>
  <si>
    <t>Joint Fires Summit | DSI Group</t>
  </si>
  <si>
    <t>INCOSE Events</t>
  </si>
  <si>
    <t>2026 Future Force Capabilities Conference &amp; Exhibition (FFC)</t>
  </si>
  <si>
    <t>Las Vegas, NV</t>
  </si>
  <si>
    <t>Loitering Munitions USA : Defence &amp; Security : North America</t>
  </si>
  <si>
    <t>Arlington, VA</t>
  </si>
  <si>
    <t xml:space="preserve">NDIA Munitions Executive Summit </t>
  </si>
  <si>
    <t>Parsippany, NJ</t>
  </si>
  <si>
    <t>2026 NDIA Munitions Executive Summit</t>
  </si>
  <si>
    <t>36th Annual NDIA Special Operations Symposium</t>
  </si>
  <si>
    <t>AIA  Board of Governors &amp; Membership Meeting Spring</t>
  </si>
  <si>
    <t>AIA  Board of Governors &amp; Membership Meeting Fall</t>
  </si>
  <si>
    <t>Scottsdale, AZ</t>
  </si>
  <si>
    <t>2026 Fall Board of Governors &amp; Membership Meeting - Aerospace Industries Association</t>
  </si>
  <si>
    <t>2026 Spring Board of Governors and Membership Meeting - Aerospace Industries Association</t>
  </si>
  <si>
    <t>Home - SMD Symposium</t>
  </si>
  <si>
    <t>Special Air Warfare Symposium by GSOF</t>
  </si>
  <si>
    <t>Fort Walton Beach, FL</t>
  </si>
  <si>
    <t>Warfare Symposium - Air &amp; Space Forces Association</t>
  </si>
  <si>
    <t>2/23/206</t>
  </si>
  <si>
    <t>Aurora, CO</t>
  </si>
  <si>
    <t>Eurosatory 2026: The Global Event for Defence and Security</t>
  </si>
  <si>
    <t>AAAA Cribbins Futures Forum</t>
  </si>
  <si>
    <t>AAAA 2026 Summit</t>
  </si>
  <si>
    <t>Verticon (Helicopter Assoc Int'l)</t>
  </si>
  <si>
    <t>Home - VERTICON 2026</t>
  </si>
  <si>
    <t>Atlanta, GA</t>
  </si>
  <si>
    <t>Sea Air Space - The Navy League's Global Maritime Exposition</t>
  </si>
  <si>
    <t>Modern Day Marine - April 28 - April 30, 2026 Washington D.C.</t>
  </si>
  <si>
    <t>SOF Week Annual Conference for the Global SOF Community</t>
  </si>
  <si>
    <t>Air, Space &amp; Cyber Conference - Air &amp; Space Forces Association</t>
  </si>
  <si>
    <t>Global Force | AUSA</t>
  </si>
  <si>
    <t>Sponsorship Paid</t>
  </si>
  <si>
    <t>PBExpo 2026 - Aerospace, Defense, and Aviation Trade Show</t>
  </si>
  <si>
    <t>MRO Americas Home</t>
  </si>
  <si>
    <t>EAA AirVenture Oshkosh | Oshkosh Air Show | Oshkosh, WI</t>
  </si>
  <si>
    <t>ACPC 2026</t>
  </si>
  <si>
    <t>Discover the International Manufacturing Technology Show | Sept. 14-19, 2026 | IMTS September 14 - 19, 2026</t>
  </si>
  <si>
    <t>AeroDef: Future Forward. Harnessing Collective Innovation for Change.</t>
  </si>
  <si>
    <t>MCAA Convention – MCAA Convention</t>
  </si>
  <si>
    <t>Defence Exhibition Athens | DEFEA</t>
  </si>
  <si>
    <t>* Corporate</t>
  </si>
  <si>
    <t>Need to work towards booth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</si>
</sst>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20" x14ac:knownFonts="1">
    <font>
      <sz val="11"/>
      <color theme="1"/>
      <name val="Neue Haas Grotesk Text Pro"/>
      <family val="2"/>
      <scheme val="minor"/>
    </font>
    <font>
      <sz val="11"/>
      <color theme="1"/>
      <name val="Neue Haas Grotesk Text Pro"/>
      <family val="2"/>
      <scheme val="minor"/>
    </font>
    <font>
      <b/>
      <sz val="11"/>
      <color theme="1"/>
      <name val="Neue Haas Grotesk Text Pro"/>
      <family val="2"/>
      <scheme val="minor"/>
    </font>
    <font>
      <b/>
      <sz val="11"/>
      <color theme="9"/>
      <name val="Neue Haas Grotesk Text Pro"/>
      <family val="2"/>
      <scheme val="minor"/>
    </font>
    <font>
      <sz val="11"/>
      <color theme="1"/>
      <name val="Aptos"/>
      <family val="2"/>
    </font>
    <font>
      <sz val="11"/>
      <name val="Neue Haas Grotesk Text Pro"/>
      <family val="2"/>
      <scheme val="minor"/>
    </font>
    <font>
      <vertAlign val="superscript"/>
      <sz val="11"/>
      <color theme="1"/>
      <name val="Aptos"/>
      <family val="2"/>
    </font>
    <font>
      <b/>
      <sz val="11"/>
      <color rgb="FF00B050"/>
      <name val="Neue Haas Grotesk Text Pro"/>
      <family val="2"/>
      <scheme val="minor"/>
    </font>
    <font>
      <b/>
      <sz val="11"/>
      <color rgb="FFFF0000"/>
      <name val="Neue Haas Grotesk Text Pro"/>
      <family val="2"/>
      <scheme val="minor"/>
    </font>
    <font>
      <sz val="11"/>
      <color rgb="FFFF0000"/>
      <name val="Neue Haas Grotesk Text Pro"/>
      <family val="2"/>
      <scheme val="minor"/>
    </font>
    <font>
      <b/>
      <u/>
      <sz val="11"/>
      <color theme="1"/>
      <name val="Neue Haas Grotesk Text Pro"/>
      <family val="2"/>
      <scheme val="minor"/>
    </font>
    <font>
      <sz val="10"/>
      <name val="Neue Haas Grotesk Text Pro"/>
      <family val="2"/>
      <scheme val="minor"/>
    </font>
    <font>
      <sz val="10"/>
      <color theme="1"/>
      <name val="Aptos"/>
      <family val="2"/>
    </font>
    <font>
      <vertAlign val="superscript"/>
      <sz val="10"/>
      <color theme="1"/>
      <name val="Aptos"/>
      <family val="2"/>
    </font>
    <font>
      <b/>
      <sz val="12"/>
      <name val="Neue Haas Grotesk Text Pro"/>
      <family val="2"/>
      <scheme val="minor"/>
    </font>
    <font>
      <b/>
      <sz val="12"/>
      <color theme="0"/>
      <name val="Neue Haas Grotesk Text Pro"/>
      <family val="2"/>
      <scheme val="minor"/>
    </font>
    <font>
      <u/>
      <sz val="11"/>
      <color theme="10"/>
      <name val="Neue Haas Grotesk Text Pro"/>
      <family val="2"/>
      <scheme val="minor"/>
    </font>
    <font>
      <sz val="10"/>
      <color theme="5" tint="0.499984740745262"/>
      <name val="Neue Haas Grotesk Text Pro"/>
      <family val="2"/>
      <scheme val="minor"/>
    </font>
    <font>
      <u/>
      <sz val="11"/>
      <color theme="5" tint="0.499984740745262"/>
      <name val="Neue Haas Grotesk Text Pro"/>
      <family val="2"/>
      <scheme val="minor"/>
    </font>
    <font>
      <sz val="11"/>
      <color theme="8"/>
      <name val="Neue Haas Grotesk Text Pro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89999084444715716"/>
        <bgColor indexed="64"/>
      </patternFill>
    </fill>
    <fill>
      <patternFill patternType="solid">
        <fgColor theme="5" tint="0.749992370372631"/>
        <bgColor indexed="64"/>
      </patternFill>
    </fill>
    <fill>
      <patternFill patternType="solid">
        <fgColor rgb="FFFFFF66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22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 applyAlignment="1">
      <alignment wrapText="1"/>
    </xf>
    <xf numFmtId="44" fontId="0" fillId="0" borderId="4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wrapText="1"/>
    </xf>
    <xf numFmtId="44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0" xfId="0" applyBorder="1"/>
    <xf numFmtId="44" fontId="0" fillId="0" borderId="0" xfId="1" applyFont="1" applyBorder="1"/>
    <xf numFmtId="0" fontId="0" fillId="0" borderId="5" xfId="0" applyBorder="1"/>
    <xf numFmtId="0" fontId="0" fillId="3" borderId="5" xfId="0" applyFill="1" applyBorder="1"/>
    <xf numFmtId="0" fontId="0" fillId="2" borderId="4" xfId="0" applyFill="1" applyBorder="1"/>
    <xf numFmtId="0" fontId="4" fillId="0" borderId="0" xfId="0" applyFont="1" applyBorder="1"/>
    <xf numFmtId="0" fontId="4" fillId="2" borderId="4" xfId="0" applyFont="1" applyFill="1" applyBorder="1"/>
    <xf numFmtId="0" fontId="5" fillId="0" borderId="0" xfId="0" applyFont="1" applyBorder="1"/>
    <xf numFmtId="0" fontId="0" fillId="0" borderId="4" xfId="0" applyBorder="1"/>
    <xf numFmtId="17" fontId="0" fillId="0" borderId="0" xfId="0" applyNumberFormat="1" applyBorder="1"/>
    <xf numFmtId="0" fontId="2" fillId="0" borderId="4" xfId="0" applyFont="1" applyBorder="1"/>
    <xf numFmtId="0" fontId="0" fillId="3" borderId="0" xfId="0" applyFill="1" applyBorder="1"/>
    <xf numFmtId="0" fontId="0" fillId="0" borderId="4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16" fontId="0" fillId="0" borderId="0" xfId="0" applyNumberFormat="1" applyBorder="1" applyAlignment="1">
      <alignment vertical="center" wrapText="1"/>
    </xf>
    <xf numFmtId="0" fontId="0" fillId="4" borderId="4" xfId="0" applyFill="1" applyBorder="1"/>
    <xf numFmtId="0" fontId="4" fillId="0" borderId="4" xfId="0" applyFont="1" applyBorder="1"/>
    <xf numFmtId="0" fontId="4" fillId="2" borderId="6" xfId="0" applyFont="1" applyFill="1" applyBorder="1"/>
    <xf numFmtId="0" fontId="4" fillId="0" borderId="7" xfId="0" applyFont="1" applyBorder="1"/>
    <xf numFmtId="0" fontId="0" fillId="0" borderId="7" xfId="0" applyBorder="1"/>
    <xf numFmtId="3" fontId="0" fillId="0" borderId="7" xfId="0" applyNumberFormat="1" applyBorder="1"/>
    <xf numFmtId="44" fontId="0" fillId="0" borderId="7" xfId="1" applyFont="1" applyBorder="1"/>
    <xf numFmtId="0" fontId="0" fillId="0" borderId="8" xfId="0" applyBorder="1"/>
    <xf numFmtId="44" fontId="2" fillId="0" borderId="5" xfId="0" applyNumberFormat="1" applyFont="1" applyBorder="1" applyAlignment="1">
      <alignment wrapText="1"/>
    </xf>
    <xf numFmtId="44" fontId="7" fillId="0" borderId="0" xfId="0" applyNumberFormat="1" applyFont="1"/>
    <xf numFmtId="0" fontId="7" fillId="0" borderId="0" xfId="0" applyFont="1" applyAlignment="1">
      <alignment horizontal="center"/>
    </xf>
    <xf numFmtId="44" fontId="8" fillId="0" borderId="0" xfId="0" applyNumberFormat="1" applyFont="1"/>
    <xf numFmtId="0" fontId="8" fillId="0" borderId="0" xfId="0" applyFont="1"/>
    <xf numFmtId="0" fontId="0" fillId="0" borderId="9" xfId="0" applyFill="1" applyBorder="1"/>
    <xf numFmtId="0" fontId="9" fillId="0" borderId="9" xfId="0" applyFont="1" applyFill="1" applyBorder="1"/>
    <xf numFmtId="0" fontId="0" fillId="0" borderId="10" xfId="0" applyFill="1" applyBorder="1"/>
    <xf numFmtId="0" fontId="0" fillId="0" borderId="0" xfId="0" applyFill="1" applyBorder="1"/>
    <xf numFmtId="0" fontId="0" fillId="0" borderId="11" xfId="0" applyFill="1" applyBorder="1" applyAlignment="1">
      <alignment horizontal="center"/>
    </xf>
    <xf numFmtId="0" fontId="0" fillId="0" borderId="0" xfId="0" applyFill="1" applyBorder="1" applyAlignment="1">
      <alignment vertical="center" wrapText="1"/>
    </xf>
    <xf numFmtId="44" fontId="0" fillId="0" borderId="0" xfId="1" applyFont="1" applyFill="1" applyBorder="1"/>
    <xf numFmtId="164" fontId="0" fillId="0" borderId="11" xfId="0" applyNumberForma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164" fontId="9" fillId="0" borderId="11" xfId="0" applyNumberFormat="1" applyFont="1" applyFill="1" applyBorder="1" applyAlignment="1">
      <alignment horizontal="center"/>
    </xf>
    <xf numFmtId="17" fontId="0" fillId="0" borderId="11" xfId="0" applyNumberFormat="1" applyFill="1" applyBorder="1" applyAlignment="1">
      <alignment horizontal="center"/>
    </xf>
    <xf numFmtId="164" fontId="0" fillId="0" borderId="11" xfId="0" applyNumberFormat="1" applyFill="1" applyBorder="1" applyAlignment="1">
      <alignment horizontal="center" wrapText="1"/>
    </xf>
    <xf numFmtId="164" fontId="0" fillId="0" borderId="11" xfId="0" applyNumberFormat="1" applyFill="1" applyBorder="1" applyAlignment="1">
      <alignment horizontal="center" vertical="top"/>
    </xf>
    <xf numFmtId="0" fontId="0" fillId="0" borderId="12" xfId="0" applyFill="1" applyBorder="1" applyAlignment="1">
      <alignment horizontal="center"/>
    </xf>
    <xf numFmtId="164" fontId="0" fillId="0" borderId="12" xfId="0" applyNumberFormat="1" applyFill="1" applyBorder="1" applyAlignment="1">
      <alignment horizontal="center" vertical="top"/>
    </xf>
    <xf numFmtId="44" fontId="0" fillId="0" borderId="0" xfId="0" applyNumberFormat="1"/>
    <xf numFmtId="44" fontId="0" fillId="0" borderId="4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5" xfId="0" applyFill="1" applyBorder="1" applyAlignment="1">
      <alignment wrapText="1"/>
    </xf>
    <xf numFmtId="0" fontId="2" fillId="0" borderId="0" xfId="0" applyFont="1" applyAlignment="1">
      <alignment horizontal="right"/>
    </xf>
    <xf numFmtId="44" fontId="2" fillId="0" borderId="0" xfId="0" applyNumberFormat="1" applyFont="1" applyAlignment="1">
      <alignment horizontal="right" wrapText="1"/>
    </xf>
    <xf numFmtId="0" fontId="10" fillId="0" borderId="0" xfId="0" applyFont="1"/>
    <xf numFmtId="0" fontId="11" fillId="0" borderId="0" xfId="0" applyFont="1" applyFill="1" applyBorder="1"/>
    <xf numFmtId="14" fontId="11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44" fontId="11" fillId="0" borderId="0" xfId="1" applyFont="1" applyFill="1" applyBorder="1"/>
    <xf numFmtId="0" fontId="11" fillId="0" borderId="0" xfId="0" applyFont="1" applyFill="1" applyBorder="1" applyAlignment="1">
      <alignment wrapText="1"/>
    </xf>
    <xf numFmtId="0" fontId="14" fillId="0" borderId="0" xfId="0" applyFont="1" applyFill="1" applyBorder="1"/>
    <xf numFmtId="0" fontId="14" fillId="0" borderId="0" xfId="0" applyFont="1" applyFill="1" applyBorder="1" applyAlignment="1">
      <alignment horizontal="center"/>
    </xf>
    <xf numFmtId="0" fontId="11" fillId="0" borderId="14" xfId="0" applyFont="1" applyFill="1" applyBorder="1"/>
    <xf numFmtId="0" fontId="15" fillId="5" borderId="13" xfId="0" applyFont="1" applyFill="1" applyBorder="1" applyAlignment="1">
      <alignment horizontal="center" wrapText="1"/>
    </xf>
    <xf numFmtId="0" fontId="15" fillId="5" borderId="1" xfId="0" applyFont="1" applyFill="1" applyBorder="1" applyAlignment="1">
      <alignment horizontal="center" wrapText="1"/>
    </xf>
    <xf numFmtId="0" fontId="15" fillId="5" borderId="2" xfId="0" applyFont="1" applyFill="1" applyBorder="1" applyAlignment="1">
      <alignment horizontal="center" wrapText="1"/>
    </xf>
    <xf numFmtId="0" fontId="15" fillId="5" borderId="3" xfId="0" applyFont="1" applyFill="1" applyBorder="1" applyAlignment="1">
      <alignment horizontal="center" wrapText="1"/>
    </xf>
    <xf numFmtId="0" fontId="11" fillId="0" borderId="4" xfId="0" applyFont="1" applyFill="1" applyBorder="1"/>
    <xf numFmtId="0" fontId="11" fillId="0" borderId="5" xfId="0" applyFont="1" applyFill="1" applyBorder="1"/>
    <xf numFmtId="0" fontId="11" fillId="0" borderId="6" xfId="0" applyFont="1" applyFill="1" applyBorder="1"/>
    <xf numFmtId="0" fontId="11" fillId="0" borderId="7" xfId="0" applyFont="1" applyFill="1" applyBorder="1"/>
    <xf numFmtId="0" fontId="11" fillId="0" borderId="8" xfId="0" applyFont="1" applyFill="1" applyBorder="1"/>
    <xf numFmtId="14" fontId="11" fillId="0" borderId="5" xfId="0" applyNumberFormat="1" applyFont="1" applyFill="1" applyBorder="1" applyAlignment="1">
      <alignment horizontal="center"/>
    </xf>
    <xf numFmtId="44" fontId="11" fillId="0" borderId="14" xfId="1" applyFont="1" applyFill="1" applyBorder="1"/>
    <xf numFmtId="0" fontId="11" fillId="0" borderId="14" xfId="0" applyFont="1" applyFill="1" applyBorder="1" applyAlignment="1">
      <alignment horizontal="center"/>
    </xf>
    <xf numFmtId="0" fontId="11" fillId="0" borderId="0" xfId="1" applyNumberFormat="1" applyFont="1" applyFill="1" applyBorder="1" applyAlignment="1">
      <alignment horizontal="center"/>
    </xf>
    <xf numFmtId="0" fontId="11" fillId="0" borderId="5" xfId="0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0" borderId="8" xfId="0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4" fillId="6" borderId="15" xfId="0" applyFont="1" applyFill="1" applyBorder="1" applyAlignment="1">
      <alignment horizontal="center" wrapText="1"/>
    </xf>
    <xf numFmtId="44" fontId="11" fillId="6" borderId="16" xfId="1" applyFont="1" applyFill="1" applyBorder="1"/>
    <xf numFmtId="44" fontId="11" fillId="6" borderId="17" xfId="1" applyFont="1" applyFill="1" applyBorder="1"/>
    <xf numFmtId="0" fontId="11" fillId="0" borderId="4" xfId="0" applyFont="1" applyFill="1" applyBorder="1" applyAlignment="1">
      <alignment horizontal="center"/>
    </xf>
    <xf numFmtId="44" fontId="11" fillId="0" borderId="5" xfId="1" applyFont="1" applyFill="1" applyBorder="1"/>
    <xf numFmtId="0" fontId="11" fillId="0" borderId="6" xfId="0" applyFont="1" applyFill="1" applyBorder="1" applyAlignment="1">
      <alignment horizontal="center"/>
    </xf>
    <xf numFmtId="44" fontId="11" fillId="0" borderId="7" xfId="1" applyFont="1" applyFill="1" applyBorder="1"/>
    <xf numFmtId="0" fontId="11" fillId="0" borderId="7" xfId="1" applyNumberFormat="1" applyFont="1" applyFill="1" applyBorder="1" applyAlignment="1">
      <alignment horizontal="center"/>
    </xf>
    <xf numFmtId="44" fontId="11" fillId="0" borderId="8" xfId="1" applyFont="1" applyFill="1" applyBorder="1"/>
    <xf numFmtId="0" fontId="14" fillId="7" borderId="1" xfId="0" applyFont="1" applyFill="1" applyBorder="1" applyAlignment="1">
      <alignment horizontal="center" wrapText="1"/>
    </xf>
    <xf numFmtId="44" fontId="11" fillId="7" borderId="4" xfId="1" applyFont="1" applyFill="1" applyBorder="1"/>
    <xf numFmtId="44" fontId="11" fillId="7" borderId="6" xfId="1" applyFont="1" applyFill="1" applyBorder="1"/>
    <xf numFmtId="0" fontId="11" fillId="0" borderId="7" xfId="0" applyFont="1" applyFill="1" applyBorder="1" applyAlignment="1">
      <alignment horizontal="center"/>
    </xf>
    <xf numFmtId="44" fontId="14" fillId="0" borderId="0" xfId="0" applyNumberFormat="1" applyFont="1" applyFill="1" applyBorder="1"/>
    <xf numFmtId="14" fontId="11" fillId="0" borderId="0" xfId="0" applyNumberFormat="1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0" borderId="0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0" borderId="7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6" fillId="0" borderId="5" xfId="2" applyBorder="1"/>
    <xf numFmtId="0" fontId="14" fillId="0" borderId="0" xfId="0" applyFont="1" applyFill="1" applyBorder="1" applyAlignment="1">
      <alignment horizontal="right"/>
    </xf>
    <xf numFmtId="0" fontId="17" fillId="0" borderId="5" xfId="0" applyFont="1" applyFill="1" applyBorder="1"/>
    <xf numFmtId="0" fontId="18" fillId="0" borderId="5" xfId="2" applyFont="1" applyBorder="1"/>
    <xf numFmtId="0" fontId="17" fillId="0" borderId="8" xfId="0" applyFont="1" applyFill="1" applyBorder="1"/>
    <xf numFmtId="0" fontId="11" fillId="0" borderId="0" xfId="0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0" borderId="7" xfId="0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4" fillId="6" borderId="3" xfId="0" applyFont="1" applyFill="1" applyBorder="1" applyAlignment="1">
      <alignment horizontal="center" wrapText="1"/>
    </xf>
    <xf numFmtId="44" fontId="11" fillId="6" borderId="5" xfId="1" applyFont="1" applyFill="1" applyBorder="1"/>
    <xf numFmtId="44" fontId="11" fillId="6" borderId="8" xfId="1" applyFont="1" applyFill="1" applyBorder="1"/>
    <xf numFmtId="0" fontId="14" fillId="8" borderId="3" xfId="0" applyFont="1" applyFill="1" applyBorder="1" applyAlignment="1">
      <alignment horizontal="center" wrapText="1"/>
    </xf>
    <xf numFmtId="44" fontId="11" fillId="8" borderId="5" xfId="1" applyFont="1" applyFill="1" applyBorder="1"/>
    <xf numFmtId="44" fontId="11" fillId="8" borderId="8" xfId="1" applyFont="1" applyFill="1" applyBorder="1"/>
    <xf numFmtId="0" fontId="19" fillId="0" borderId="4" xfId="0" applyFont="1" applyBorder="1"/>
    <xf numFmtId="0" fontId="19" fillId="0" borderId="0" xfId="0" applyFont="1" applyBorder="1"/>
    <xf numFmtId="44" fontId="19" fillId="0" borderId="0" xfId="1" applyFont="1" applyBorder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Albers Theme">
  <a:themeElements>
    <a:clrScheme name="Custom 1">
      <a:dk1>
        <a:srgbClr val="1D222B"/>
      </a:dk1>
      <a:lt1>
        <a:srgbClr val="FFFFFF"/>
      </a:lt1>
      <a:dk2>
        <a:srgbClr val="1D222B"/>
      </a:dk2>
      <a:lt2>
        <a:srgbClr val="EBEBEB"/>
      </a:lt2>
      <a:accent1>
        <a:srgbClr val="550D2B"/>
      </a:accent1>
      <a:accent2>
        <a:srgbClr val="081C4F"/>
      </a:accent2>
      <a:accent3>
        <a:srgbClr val="364F0F"/>
      </a:accent3>
      <a:accent4>
        <a:srgbClr val="B8B8B8"/>
      </a:accent4>
      <a:accent5>
        <a:srgbClr val="009C0D"/>
      </a:accent5>
      <a:accent6>
        <a:srgbClr val="FFFFFF"/>
      </a:accent6>
      <a:hlink>
        <a:srgbClr val="3E6FEB"/>
      </a:hlink>
      <a:folHlink>
        <a:srgbClr val="FFFFFF"/>
      </a:folHlink>
    </a:clrScheme>
    <a:fontScheme name="Albers">
      <a:majorFont>
        <a:latin typeface="Neue Haas Grotesk Text Pro"/>
        <a:ea typeface="Helvetica"/>
        <a:cs typeface="Helvetica"/>
      </a:majorFont>
      <a:minorFont>
        <a:latin typeface="Neue Haas Grotesk Text Pro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 horzOverflow="overflow" lIns="0" tIns="0" rIns="0" bIns="0" anchor="ctr" anchorCtr="0">
        <a:spAutoFit/>
      </a:bodyPr>
      <a:lstStyle>
        <a:defPPr algn="ctr">
          <a:defRPr sz="900" dirty="0" smtClean="0">
            <a:solidFill>
              <a:schemeClr val="accent4"/>
            </a:solidFill>
            <a:latin typeface="+mj-lt"/>
            <a:ea typeface="Verdana" panose="020B0604030504040204" pitchFamily="34" charset="0"/>
            <a:cs typeface="Calibri" panose="020F0502020204030204" pitchFamily="34" charset="0"/>
          </a:defRPr>
        </a:defPPr>
      </a:lstStyle>
    </a:txDef>
  </a:objectDefaults>
  <a:extraClrSchemeLst/>
  <a:extLst>
    <a:ext uri="{05A4C25C-085E-4340-85A3-A5531E510DB2}">
      <thm15:themeFamily xmlns:thm15="http://schemas.microsoft.com/office/thememl/2012/main" name="Albers PPT Template" id="{D76D1B63-9FF6-46CF-835B-CB46EA3D2997}" vid="{ADF4BB0D-CA95-4B9A-AD8C-7048546006BE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fires.dsigroup.org/" TargetMode="External"/><Relationship Id="rId18" Type="http://schemas.openxmlformats.org/officeDocument/2006/relationships/hyperlink" Target="https://www.ndia.org/events/2026/2/17/36th-annual-ndia-special-operations-symposium" TargetMode="External"/><Relationship Id="rId26" Type="http://schemas.openxmlformats.org/officeDocument/2006/relationships/hyperlink" Target="https://s7.goeshow.com/aaaa/missionsolutions/2026/" TargetMode="External"/><Relationship Id="rId39" Type="http://schemas.openxmlformats.org/officeDocument/2006/relationships/hyperlink" Target="https://www.aerodefevent.com/" TargetMode="External"/><Relationship Id="rId21" Type="http://schemas.openxmlformats.org/officeDocument/2006/relationships/hyperlink" Target="https://smdsymposium.org/" TargetMode="External"/><Relationship Id="rId34" Type="http://schemas.openxmlformats.org/officeDocument/2006/relationships/hyperlink" Target="https://mroamericas.aviationweek.com/en/home.html" TargetMode="External"/><Relationship Id="rId7" Type="http://schemas.openxmlformats.org/officeDocument/2006/relationships/hyperlink" Target="https://www.egyptdefenceexpo.com/" TargetMode="External"/><Relationship Id="rId2" Type="http://schemas.openxmlformats.org/officeDocument/2006/relationships/hyperlink" Target="https://www.sofexjordan.com/" TargetMode="External"/><Relationship Id="rId16" Type="http://schemas.openxmlformats.org/officeDocument/2006/relationships/hyperlink" Target="https://www.smgconferences.com/defence/northamerica/conference/loitering-munitions-usa" TargetMode="External"/><Relationship Id="rId20" Type="http://schemas.openxmlformats.org/officeDocument/2006/relationships/hyperlink" Target="https://www.aia-aerospace.org/events/2026-spring-board-of-governors-and-membership-meeting/" TargetMode="External"/><Relationship Id="rId29" Type="http://schemas.openxmlformats.org/officeDocument/2006/relationships/hyperlink" Target="https://marinemilitaryexpos.com/" TargetMode="External"/><Relationship Id="rId41" Type="http://schemas.openxmlformats.org/officeDocument/2006/relationships/hyperlink" Target="https://defea.gr/" TargetMode="External"/><Relationship Id="rId1" Type="http://schemas.openxmlformats.org/officeDocument/2006/relationships/hyperlink" Target="https://saws.gsofsymposium.org/schedule-at-a-glance/" TargetMode="External"/><Relationship Id="rId6" Type="http://schemas.openxmlformats.org/officeDocument/2006/relationships/hyperlink" Target="https://www.dubaiairshow.aero/en/dubai-airshow.html" TargetMode="External"/><Relationship Id="rId11" Type="http://schemas.openxmlformats.org/officeDocument/2006/relationships/hyperlink" Target="https://digitalengineering.dsigroup.org/" TargetMode="External"/><Relationship Id="rId24" Type="http://schemas.openxmlformats.org/officeDocument/2006/relationships/hyperlink" Target="https://www.eurosatory.com/en/" TargetMode="External"/><Relationship Id="rId32" Type="http://schemas.openxmlformats.org/officeDocument/2006/relationships/hyperlink" Target="https://www.ausa.org/tags/global-force" TargetMode="External"/><Relationship Id="rId37" Type="http://schemas.openxmlformats.org/officeDocument/2006/relationships/hyperlink" Target="https://mroeurope.aviationweek.com/en/home.html" TargetMode="External"/><Relationship Id="rId40" Type="http://schemas.openxmlformats.org/officeDocument/2006/relationships/hyperlink" Target="https://mcaaconvention.org/" TargetMode="External"/><Relationship Id="rId5" Type="http://schemas.openxmlformats.org/officeDocument/2006/relationships/hyperlink" Target="https://publicsafetyaviation.org/apscon/" TargetMode="External"/><Relationship Id="rId15" Type="http://schemas.openxmlformats.org/officeDocument/2006/relationships/hyperlink" Target="https://ndiaffc.org/" TargetMode="External"/><Relationship Id="rId23" Type="http://schemas.openxmlformats.org/officeDocument/2006/relationships/hyperlink" Target="https://www.afa.org/afa-warfare-symposium/" TargetMode="External"/><Relationship Id="rId28" Type="http://schemas.openxmlformats.org/officeDocument/2006/relationships/hyperlink" Target="https://seaairspace.org/" TargetMode="External"/><Relationship Id="rId36" Type="http://schemas.openxmlformats.org/officeDocument/2006/relationships/hyperlink" Target="https://acpc.com/" TargetMode="External"/><Relationship Id="rId10" Type="http://schemas.openxmlformats.org/officeDocument/2006/relationships/hyperlink" Target="https://www.worlddefenseshow.com/en" TargetMode="External"/><Relationship Id="rId19" Type="http://schemas.openxmlformats.org/officeDocument/2006/relationships/hyperlink" Target="https://www.aia-aerospace.org/events/2026-fall-board-of-governors-membership-meeting/" TargetMode="External"/><Relationship Id="rId31" Type="http://schemas.openxmlformats.org/officeDocument/2006/relationships/hyperlink" Target="https://www.afa.org/air-space-cyber-conference/" TargetMode="External"/><Relationship Id="rId4" Type="http://schemas.openxmlformats.org/officeDocument/2006/relationships/hyperlink" Target="https://www.siae.fr/en/" TargetMode="External"/><Relationship Id="rId9" Type="http://schemas.openxmlformats.org/officeDocument/2006/relationships/hyperlink" Target="https://www.incose.org/events/international-symposium2026" TargetMode="External"/><Relationship Id="rId14" Type="http://schemas.openxmlformats.org/officeDocument/2006/relationships/hyperlink" Target="https://www.incose.org/events" TargetMode="External"/><Relationship Id="rId22" Type="http://schemas.openxmlformats.org/officeDocument/2006/relationships/hyperlink" Target="https://saws.gsofsymposium.org/" TargetMode="External"/><Relationship Id="rId27" Type="http://schemas.openxmlformats.org/officeDocument/2006/relationships/hyperlink" Target="https://verticon.org/?gad_source=1&amp;gad_campaignid=23341872156&amp;gclid=CjwKCAiAjc7KBhBvEiwAE2BDOZjjYRFaNMXlGA7pGdyzFdJkdaFALH2Padmg1M6av5AD5TSJQd2l5hoCO9EQAvD_BwE" TargetMode="External"/><Relationship Id="rId30" Type="http://schemas.openxmlformats.org/officeDocument/2006/relationships/hyperlink" Target="https://sofweek.org/" TargetMode="External"/><Relationship Id="rId35" Type="http://schemas.openxmlformats.org/officeDocument/2006/relationships/hyperlink" Target="https://www.eaa.org/airventure" TargetMode="External"/><Relationship Id="rId8" Type="http://schemas.openxmlformats.org/officeDocument/2006/relationships/hyperlink" Target="https://www.incose.org/events/international-workshop2026" TargetMode="External"/><Relationship Id="rId3" Type="http://schemas.openxmlformats.org/officeDocument/2006/relationships/hyperlink" Target="https://www.farnboroughairshow.com/" TargetMode="External"/><Relationship Id="rId12" Type="http://schemas.openxmlformats.org/officeDocument/2006/relationships/hyperlink" Target="https://www.iitsec.org/" TargetMode="External"/><Relationship Id="rId17" Type="http://schemas.openxmlformats.org/officeDocument/2006/relationships/hyperlink" Target="https://www.ndia.org/events/2026/3/17/munitions-executive-summit" TargetMode="External"/><Relationship Id="rId25" Type="http://schemas.openxmlformats.org/officeDocument/2006/relationships/hyperlink" Target="https://www.quad-a.org/Public/Public/ContentAreas/Tagged-Content/AAAA-Events/AAAA-Cribbins-Futures-Forum.aspx" TargetMode="External"/><Relationship Id="rId33" Type="http://schemas.openxmlformats.org/officeDocument/2006/relationships/hyperlink" Target="https://www.pbexpo.org/" TargetMode="External"/><Relationship Id="rId38" Type="http://schemas.openxmlformats.org/officeDocument/2006/relationships/hyperlink" Target="https://www.imt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D2620-EA50-4346-961E-0C63AA11A9BA}">
  <dimension ref="A1:AD52"/>
  <sheetViews>
    <sheetView tabSelected="1" zoomScale="70" zoomScaleNormal="7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E53" sqref="E53"/>
    </sheetView>
  </sheetViews>
  <sheetFormatPr defaultColWidth="9.09765625" defaultRowHeight="12.75" x14ac:dyDescent="0.2"/>
  <cols>
    <col min="1" max="1" width="35.296875" style="66" bestFit="1" customWidth="1"/>
    <col min="2" max="2" width="13.3984375" style="66" bestFit="1" customWidth="1"/>
    <col min="3" max="3" width="16.8984375" style="66" bestFit="1" customWidth="1"/>
    <col min="4" max="4" width="9.19921875" style="66" customWidth="1"/>
    <col min="5" max="5" width="8.296875" style="66" bestFit="1" customWidth="1"/>
    <col min="6" max="6" width="7.69921875" style="66" customWidth="1"/>
    <col min="7" max="7" width="19.19921875" style="66" bestFit="1" customWidth="1"/>
    <col min="8" max="8" width="78.8984375" style="66" bestFit="1" customWidth="1"/>
    <col min="9" max="9" width="9.296875" style="68" customWidth="1"/>
    <col min="10" max="10" width="10.59765625" style="68" customWidth="1"/>
    <col min="11" max="11" width="9.296875" style="66" bestFit="1" customWidth="1"/>
    <col min="12" max="12" width="7.5" style="68" customWidth="1"/>
    <col min="13" max="13" width="9.69921875" style="66" bestFit="1" customWidth="1"/>
    <col min="14" max="14" width="10.796875" style="68" customWidth="1"/>
    <col min="15" max="15" width="11" style="68" customWidth="1"/>
    <col min="16" max="17" width="11" style="66" customWidth="1"/>
    <col min="18" max="18" width="10.796875" style="68" customWidth="1"/>
    <col min="19" max="19" width="9.3984375" style="66" bestFit="1" customWidth="1"/>
    <col min="20" max="20" width="6.19921875" style="68" bestFit="1" customWidth="1"/>
    <col min="21" max="21" width="9.19921875" style="66" bestFit="1" customWidth="1"/>
    <col min="22" max="22" width="6.09765625" style="66" bestFit="1" customWidth="1"/>
    <col min="23" max="23" width="6.59765625" style="66" bestFit="1" customWidth="1"/>
    <col min="24" max="24" width="7.69921875" style="66" bestFit="1" customWidth="1"/>
    <col min="25" max="25" width="7.296875" style="66" bestFit="1" customWidth="1"/>
    <col min="26" max="26" width="7.69921875" style="66" bestFit="1" customWidth="1"/>
    <col min="27" max="27" width="5.69921875" style="66" bestFit="1" customWidth="1"/>
    <col min="28" max="28" width="12.19921875" style="66" bestFit="1" customWidth="1"/>
    <col min="29" max="29" width="12.09765625" style="66" bestFit="1" customWidth="1"/>
    <col min="30" max="30" width="27.296875" style="66" bestFit="1" customWidth="1"/>
    <col min="31" max="16384" width="9.09765625" style="66"/>
  </cols>
  <sheetData>
    <row r="1" spans="1:30" s="70" customFormat="1" ht="35.25" customHeight="1" x14ac:dyDescent="0.25">
      <c r="A1" s="75" t="s">
        <v>0</v>
      </c>
      <c r="B1" s="76" t="s">
        <v>2</v>
      </c>
      <c r="C1" s="76" t="s">
        <v>174</v>
      </c>
      <c r="D1" s="76" t="s">
        <v>143</v>
      </c>
      <c r="E1" s="77" t="s">
        <v>144</v>
      </c>
      <c r="F1" s="76" t="s">
        <v>215</v>
      </c>
      <c r="G1" s="75" t="s">
        <v>125</v>
      </c>
      <c r="H1" s="77" t="s">
        <v>164</v>
      </c>
      <c r="I1" s="76" t="s">
        <v>133</v>
      </c>
      <c r="J1" s="76" t="s">
        <v>126</v>
      </c>
      <c r="K1" s="76" t="s">
        <v>147</v>
      </c>
      <c r="L1" s="74" t="s">
        <v>4</v>
      </c>
      <c r="M1" s="76" t="s">
        <v>169</v>
      </c>
      <c r="N1" s="76" t="s">
        <v>170</v>
      </c>
      <c r="O1" s="75" t="s">
        <v>175</v>
      </c>
      <c r="P1" s="76" t="s">
        <v>148</v>
      </c>
      <c r="Q1" s="76" t="s">
        <v>149</v>
      </c>
      <c r="R1" s="77" t="s">
        <v>254</v>
      </c>
      <c r="S1" s="113" t="s">
        <v>176</v>
      </c>
      <c r="T1" s="75" t="s">
        <v>6</v>
      </c>
      <c r="U1" s="76" t="s">
        <v>171</v>
      </c>
      <c r="V1" s="76" t="s">
        <v>181</v>
      </c>
      <c r="W1" s="76" t="s">
        <v>180</v>
      </c>
      <c r="X1" s="76" t="s">
        <v>178</v>
      </c>
      <c r="Y1" s="77" t="s">
        <v>172</v>
      </c>
      <c r="Z1" s="89" t="s">
        <v>177</v>
      </c>
      <c r="AA1" s="74" t="s">
        <v>179</v>
      </c>
      <c r="AB1" s="98" t="s">
        <v>7</v>
      </c>
      <c r="AC1" s="116" t="s">
        <v>113</v>
      </c>
      <c r="AD1" s="74" t="s">
        <v>182</v>
      </c>
    </row>
    <row r="2" spans="1:30" ht="15" x14ac:dyDescent="0.25">
      <c r="A2" s="78" t="s">
        <v>210</v>
      </c>
      <c r="B2" s="66" t="s">
        <v>38</v>
      </c>
      <c r="C2" s="66" t="s">
        <v>111</v>
      </c>
      <c r="D2" s="67">
        <v>46053</v>
      </c>
      <c r="E2" s="83">
        <v>46056</v>
      </c>
      <c r="F2" s="103" t="b">
        <v>1</v>
      </c>
      <c r="G2" s="78" t="s">
        <v>209</v>
      </c>
      <c r="H2" s="109" t="s">
        <v>208</v>
      </c>
      <c r="J2" s="68" t="s">
        <v>128</v>
      </c>
      <c r="L2" s="68" t="s">
        <v>39</v>
      </c>
      <c r="M2" s="69"/>
      <c r="N2" s="111"/>
      <c r="O2" s="92"/>
      <c r="R2" s="87"/>
      <c r="S2" s="114">
        <f t="shared" ref="S2:S33" si="0">M2+Q2</f>
        <v>0</v>
      </c>
      <c r="T2" s="92">
        <v>2</v>
      </c>
      <c r="U2" s="69"/>
      <c r="V2" s="86"/>
      <c r="W2" s="69"/>
      <c r="X2" s="69"/>
      <c r="Y2" s="93"/>
      <c r="Z2" s="90">
        <f t="shared" ref="Z2:Z33" si="1">(U2*V2)+(W2*V2)+(SUM(X2:Y2)*V2)</f>
        <v>0</v>
      </c>
      <c r="AA2" s="69"/>
      <c r="AB2" s="99">
        <v>7000</v>
      </c>
      <c r="AC2" s="117">
        <v>7000</v>
      </c>
    </row>
    <row r="3" spans="1:30" ht="15" x14ac:dyDescent="0.25">
      <c r="A3" s="78" t="s">
        <v>216</v>
      </c>
      <c r="D3" s="67">
        <v>46061</v>
      </c>
      <c r="E3" s="83">
        <v>46065</v>
      </c>
      <c r="F3" s="103" t="b">
        <v>1</v>
      </c>
      <c r="G3" s="78" t="s">
        <v>217</v>
      </c>
      <c r="H3" s="109" t="s">
        <v>216</v>
      </c>
      <c r="M3" s="69"/>
      <c r="N3" s="111" t="b">
        <v>0</v>
      </c>
      <c r="O3" s="92"/>
      <c r="R3" s="87" t="b">
        <v>0</v>
      </c>
      <c r="S3" s="114">
        <f t="shared" si="0"/>
        <v>0</v>
      </c>
      <c r="T3" s="92"/>
      <c r="U3" s="69"/>
      <c r="V3" s="86"/>
      <c r="W3" s="69"/>
      <c r="X3" s="69"/>
      <c r="Y3" s="93"/>
      <c r="Z3" s="90">
        <f t="shared" si="1"/>
        <v>0</v>
      </c>
      <c r="AA3" s="69"/>
      <c r="AB3" s="99"/>
      <c r="AC3" s="117"/>
    </row>
    <row r="4" spans="1:30" ht="15" x14ac:dyDescent="0.25">
      <c r="A4" s="78" t="s">
        <v>85</v>
      </c>
      <c r="B4" s="66" t="s">
        <v>263</v>
      </c>
      <c r="C4" s="66" t="s">
        <v>135</v>
      </c>
      <c r="D4" s="67">
        <v>46063</v>
      </c>
      <c r="E4" s="83">
        <v>46065</v>
      </c>
      <c r="F4" s="103" t="b">
        <v>1</v>
      </c>
      <c r="G4" s="78" t="s">
        <v>239</v>
      </c>
      <c r="H4" s="109" t="s">
        <v>238</v>
      </c>
      <c r="J4" s="68" t="s">
        <v>128</v>
      </c>
      <c r="L4" s="68" t="s">
        <v>39</v>
      </c>
      <c r="M4" s="69">
        <v>2000</v>
      </c>
      <c r="N4" s="111"/>
      <c r="O4" s="92"/>
      <c r="R4" s="87"/>
      <c r="S4" s="114">
        <f t="shared" si="0"/>
        <v>2000</v>
      </c>
      <c r="T4" s="92">
        <v>4</v>
      </c>
      <c r="U4" s="69"/>
      <c r="V4" s="86"/>
      <c r="W4" s="69"/>
      <c r="X4" s="69"/>
      <c r="Y4" s="93"/>
      <c r="Z4" s="90">
        <f t="shared" si="1"/>
        <v>0</v>
      </c>
      <c r="AA4" s="69"/>
      <c r="AB4" s="99">
        <v>10000</v>
      </c>
      <c r="AC4" s="117">
        <v>5000</v>
      </c>
    </row>
    <row r="5" spans="1:30" ht="15" x14ac:dyDescent="0.25">
      <c r="A5" s="78" t="s">
        <v>42</v>
      </c>
      <c r="B5" s="66" t="s">
        <v>38</v>
      </c>
      <c r="D5" s="67">
        <v>46063</v>
      </c>
      <c r="E5" s="83">
        <v>46065</v>
      </c>
      <c r="F5" s="103" t="b">
        <v>1</v>
      </c>
      <c r="G5" s="78" t="s">
        <v>194</v>
      </c>
      <c r="H5" s="106" t="s">
        <v>195</v>
      </c>
      <c r="J5" s="68" t="s">
        <v>128</v>
      </c>
      <c r="L5" s="68" t="s">
        <v>39</v>
      </c>
      <c r="M5" s="69">
        <v>600</v>
      </c>
      <c r="N5" s="111"/>
      <c r="O5" s="92"/>
      <c r="R5" s="87"/>
      <c r="S5" s="114">
        <f t="shared" si="0"/>
        <v>600</v>
      </c>
      <c r="T5" s="92">
        <v>2</v>
      </c>
      <c r="U5" s="69"/>
      <c r="V5" s="86"/>
      <c r="W5" s="69"/>
      <c r="X5" s="69"/>
      <c r="Y5" s="93"/>
      <c r="Z5" s="90">
        <f t="shared" si="1"/>
        <v>0</v>
      </c>
      <c r="AA5" s="69"/>
      <c r="AB5" s="99">
        <v>8600</v>
      </c>
      <c r="AC5" s="117">
        <v>5000</v>
      </c>
    </row>
    <row r="6" spans="1:30" ht="15" x14ac:dyDescent="0.25">
      <c r="A6" s="78" t="s">
        <v>173</v>
      </c>
      <c r="B6" s="66" t="s">
        <v>95</v>
      </c>
      <c r="D6" s="67">
        <v>46070</v>
      </c>
      <c r="E6" s="83">
        <v>46071</v>
      </c>
      <c r="F6" s="103" t="b">
        <v>1</v>
      </c>
      <c r="G6" s="78" t="s">
        <v>146</v>
      </c>
      <c r="H6" s="109" t="s">
        <v>231</v>
      </c>
      <c r="J6" s="68" t="s">
        <v>128</v>
      </c>
      <c r="L6" s="68" t="s">
        <v>39</v>
      </c>
      <c r="M6" s="69">
        <v>1000</v>
      </c>
      <c r="N6" s="111"/>
      <c r="O6" s="92"/>
      <c r="R6" s="87"/>
      <c r="S6" s="114">
        <f t="shared" si="0"/>
        <v>1000</v>
      </c>
      <c r="T6" s="92">
        <v>2</v>
      </c>
      <c r="U6" s="69"/>
      <c r="V6" s="86"/>
      <c r="W6" s="69"/>
      <c r="X6" s="69"/>
      <c r="Y6" s="93"/>
      <c r="Z6" s="90">
        <f t="shared" si="1"/>
        <v>0</v>
      </c>
      <c r="AA6" s="69"/>
      <c r="AB6" s="99">
        <v>4000</v>
      </c>
      <c r="AC6" s="117">
        <v>4000</v>
      </c>
    </row>
    <row r="7" spans="1:30" ht="15" x14ac:dyDescent="0.25">
      <c r="A7" s="78" t="s">
        <v>36</v>
      </c>
      <c r="B7" s="66" t="s">
        <v>95</v>
      </c>
      <c r="C7" s="66" t="s">
        <v>142</v>
      </c>
      <c r="D7" s="67">
        <v>46071</v>
      </c>
      <c r="E7" s="83">
        <v>46072</v>
      </c>
      <c r="F7" s="103" t="b">
        <v>1</v>
      </c>
      <c r="G7" s="78" t="s">
        <v>157</v>
      </c>
      <c r="H7" s="109" t="s">
        <v>222</v>
      </c>
      <c r="J7" s="68" t="s">
        <v>128</v>
      </c>
      <c r="L7" s="68" t="s">
        <v>39</v>
      </c>
      <c r="M7" s="69">
        <v>1100</v>
      </c>
      <c r="N7" s="111"/>
      <c r="O7" s="92"/>
      <c r="R7" s="87"/>
      <c r="S7" s="114">
        <f t="shared" si="0"/>
        <v>1100</v>
      </c>
      <c r="T7" s="92">
        <v>2</v>
      </c>
      <c r="U7" s="69"/>
      <c r="V7" s="86"/>
      <c r="W7" s="69"/>
      <c r="X7" s="69"/>
      <c r="Y7" s="93"/>
      <c r="Z7" s="90">
        <f t="shared" si="1"/>
        <v>0</v>
      </c>
      <c r="AA7" s="69"/>
      <c r="AB7" s="99">
        <v>8000</v>
      </c>
      <c r="AC7" s="117">
        <v>8000</v>
      </c>
    </row>
    <row r="8" spans="1:30" ht="15" x14ac:dyDescent="0.25">
      <c r="A8" s="78" t="s">
        <v>246</v>
      </c>
      <c r="B8" s="66" t="s">
        <v>38</v>
      </c>
      <c r="C8" s="66" t="s">
        <v>49</v>
      </c>
      <c r="D8" s="67">
        <v>46090</v>
      </c>
      <c r="E8" s="83">
        <v>46093</v>
      </c>
      <c r="F8" s="103" t="b">
        <v>1</v>
      </c>
      <c r="G8" s="78" t="s">
        <v>248</v>
      </c>
      <c r="H8" s="109" t="s">
        <v>247</v>
      </c>
      <c r="M8" s="69"/>
      <c r="N8" s="111" t="b">
        <v>0</v>
      </c>
      <c r="O8" s="92"/>
      <c r="R8" s="87" t="b">
        <v>0</v>
      </c>
      <c r="S8" s="114">
        <f t="shared" si="0"/>
        <v>0</v>
      </c>
      <c r="T8" s="92"/>
      <c r="U8" s="69"/>
      <c r="V8" s="86"/>
      <c r="W8" s="69"/>
      <c r="X8" s="69"/>
      <c r="Y8" s="93"/>
      <c r="Z8" s="90">
        <f t="shared" si="1"/>
        <v>0</v>
      </c>
      <c r="AA8" s="69"/>
      <c r="AB8" s="99"/>
      <c r="AC8" s="117"/>
    </row>
    <row r="9" spans="1:30" ht="15" x14ac:dyDescent="0.25">
      <c r="A9" s="78" t="s">
        <v>161</v>
      </c>
      <c r="B9" s="66" t="s">
        <v>23</v>
      </c>
      <c r="C9" s="66" t="s">
        <v>140</v>
      </c>
      <c r="D9" s="67">
        <v>46092</v>
      </c>
      <c r="E9" s="83">
        <v>46093</v>
      </c>
      <c r="F9" s="103" t="b">
        <v>1</v>
      </c>
      <c r="G9" s="78" t="s">
        <v>158</v>
      </c>
      <c r="H9" s="106" t="s">
        <v>255</v>
      </c>
      <c r="J9" s="68" t="s">
        <v>128</v>
      </c>
      <c r="L9" s="68" t="s">
        <v>39</v>
      </c>
      <c r="M9" s="69">
        <v>3000</v>
      </c>
      <c r="N9" s="111"/>
      <c r="O9" s="92"/>
      <c r="R9" s="87"/>
      <c r="S9" s="114">
        <f t="shared" si="0"/>
        <v>3000</v>
      </c>
      <c r="T9" s="92">
        <v>2</v>
      </c>
      <c r="U9" s="69"/>
      <c r="V9" s="86"/>
      <c r="W9" s="69"/>
      <c r="X9" s="69"/>
      <c r="Y9" s="93"/>
      <c r="Z9" s="90">
        <f t="shared" si="1"/>
        <v>0</v>
      </c>
      <c r="AA9" s="69"/>
      <c r="AB9" s="99">
        <v>6000</v>
      </c>
      <c r="AC9" s="117">
        <v>6000</v>
      </c>
    </row>
    <row r="10" spans="1:30" ht="15" x14ac:dyDescent="0.25">
      <c r="A10" s="78" t="s">
        <v>228</v>
      </c>
      <c r="B10" s="66" t="s">
        <v>142</v>
      </c>
      <c r="C10" s="66" t="s">
        <v>142</v>
      </c>
      <c r="D10" s="67">
        <v>46098</v>
      </c>
      <c r="E10" s="83">
        <v>46099</v>
      </c>
      <c r="F10" s="103" t="b">
        <v>1</v>
      </c>
      <c r="G10" s="78" t="s">
        <v>229</v>
      </c>
      <c r="H10" s="109" t="s">
        <v>230</v>
      </c>
      <c r="J10" s="68" t="s">
        <v>128</v>
      </c>
      <c r="L10" s="68" t="s">
        <v>39</v>
      </c>
      <c r="M10" s="69">
        <v>0</v>
      </c>
      <c r="N10" s="111"/>
      <c r="O10" s="92"/>
      <c r="R10" s="87"/>
      <c r="S10" s="114">
        <f t="shared" si="0"/>
        <v>0</v>
      </c>
      <c r="T10" s="92">
        <v>4</v>
      </c>
      <c r="U10" s="69"/>
      <c r="V10" s="86"/>
      <c r="W10" s="69"/>
      <c r="X10" s="69"/>
      <c r="Y10" s="93"/>
      <c r="Z10" s="90">
        <f t="shared" si="1"/>
        <v>0</v>
      </c>
      <c r="AA10" s="69"/>
      <c r="AB10" s="99">
        <v>6000</v>
      </c>
      <c r="AC10" s="117">
        <v>0</v>
      </c>
    </row>
    <row r="11" spans="1:30" ht="15" x14ac:dyDescent="0.25">
      <c r="A11" s="78" t="s">
        <v>52</v>
      </c>
      <c r="B11" s="66" t="s">
        <v>263</v>
      </c>
      <c r="C11" s="66" t="s">
        <v>135</v>
      </c>
      <c r="D11" s="67">
        <v>46105</v>
      </c>
      <c r="E11" s="83">
        <v>46107</v>
      </c>
      <c r="F11" s="103" t="b">
        <v>1</v>
      </c>
      <c r="G11" s="78" t="s">
        <v>151</v>
      </c>
      <c r="H11" s="106" t="s">
        <v>253</v>
      </c>
      <c r="I11" s="68" t="s">
        <v>167</v>
      </c>
      <c r="J11" s="68" t="s">
        <v>128</v>
      </c>
      <c r="M11" s="69">
        <v>5000</v>
      </c>
      <c r="N11" s="111"/>
      <c r="O11" s="92"/>
      <c r="R11" s="87"/>
      <c r="S11" s="114">
        <f t="shared" si="0"/>
        <v>5000</v>
      </c>
      <c r="T11" s="92">
        <v>2</v>
      </c>
      <c r="U11" s="69"/>
      <c r="V11" s="86"/>
      <c r="W11" s="69"/>
      <c r="X11" s="69"/>
      <c r="Y11" s="93"/>
      <c r="Z11" s="90">
        <f t="shared" si="1"/>
        <v>0</v>
      </c>
      <c r="AA11" s="69"/>
      <c r="AB11" s="99">
        <v>7500</v>
      </c>
      <c r="AC11" s="117">
        <v>0</v>
      </c>
      <c r="AD11" s="66" t="s">
        <v>264</v>
      </c>
    </row>
    <row r="12" spans="1:30" x14ac:dyDescent="0.2">
      <c r="A12" s="78" t="s">
        <v>94</v>
      </c>
      <c r="B12" s="66" t="s">
        <v>95</v>
      </c>
      <c r="C12" s="66" t="s">
        <v>95</v>
      </c>
      <c r="D12" s="67">
        <v>46113</v>
      </c>
      <c r="E12" s="83"/>
      <c r="F12" s="103" t="b">
        <v>0</v>
      </c>
      <c r="G12" s="78"/>
      <c r="H12" s="108"/>
      <c r="J12" s="68" t="s">
        <v>128</v>
      </c>
      <c r="L12" s="68" t="s">
        <v>39</v>
      </c>
      <c r="M12" s="69">
        <v>2000</v>
      </c>
      <c r="N12" s="111"/>
      <c r="O12" s="92"/>
      <c r="R12" s="87"/>
      <c r="S12" s="114">
        <f t="shared" si="0"/>
        <v>2000</v>
      </c>
      <c r="T12" s="92">
        <v>2</v>
      </c>
      <c r="U12" s="69"/>
      <c r="V12" s="86"/>
      <c r="W12" s="69"/>
      <c r="X12" s="69"/>
      <c r="Y12" s="93"/>
      <c r="Z12" s="90">
        <f t="shared" si="1"/>
        <v>0</v>
      </c>
      <c r="AA12" s="69"/>
      <c r="AB12" s="99">
        <v>5000</v>
      </c>
      <c r="AC12" s="117">
        <v>5000</v>
      </c>
    </row>
    <row r="13" spans="1:30" ht="15" x14ac:dyDescent="0.25">
      <c r="A13" s="78" t="s">
        <v>186</v>
      </c>
      <c r="B13" s="66" t="s">
        <v>23</v>
      </c>
      <c r="C13" s="66" t="s">
        <v>140</v>
      </c>
      <c r="D13" s="67">
        <v>46128</v>
      </c>
      <c r="E13" s="83" t="s">
        <v>183</v>
      </c>
      <c r="F13" s="103" t="b">
        <v>1</v>
      </c>
      <c r="G13" s="78" t="s">
        <v>187</v>
      </c>
      <c r="H13" s="106" t="s">
        <v>260</v>
      </c>
      <c r="J13" s="68" t="s">
        <v>11</v>
      </c>
      <c r="L13" s="68" t="s">
        <v>46</v>
      </c>
      <c r="M13" s="69">
        <v>10000</v>
      </c>
      <c r="N13" s="111"/>
      <c r="O13" s="92"/>
      <c r="R13" s="87"/>
      <c r="S13" s="114">
        <f t="shared" si="0"/>
        <v>10000</v>
      </c>
      <c r="T13" s="92">
        <v>3</v>
      </c>
      <c r="U13" s="69"/>
      <c r="V13" s="86"/>
      <c r="W13" s="69"/>
      <c r="X13" s="69"/>
      <c r="Y13" s="93"/>
      <c r="Z13" s="90">
        <f t="shared" si="1"/>
        <v>0</v>
      </c>
      <c r="AA13" s="69"/>
      <c r="AB13" s="99">
        <v>15000</v>
      </c>
      <c r="AC13" s="117">
        <v>15000</v>
      </c>
    </row>
    <row r="14" spans="1:30" ht="15" x14ac:dyDescent="0.25">
      <c r="A14" s="78" t="s">
        <v>9</v>
      </c>
      <c r="B14" s="66" t="s">
        <v>263</v>
      </c>
      <c r="C14" s="66" t="s">
        <v>135</v>
      </c>
      <c r="D14" s="67">
        <v>46131</v>
      </c>
      <c r="E14" s="83">
        <v>46134</v>
      </c>
      <c r="F14" s="103" t="b">
        <v>1</v>
      </c>
      <c r="G14" s="78" t="s">
        <v>145</v>
      </c>
      <c r="H14" s="106" t="s">
        <v>249</v>
      </c>
      <c r="I14" s="68" t="s">
        <v>167</v>
      </c>
      <c r="J14" s="68" t="s">
        <v>11</v>
      </c>
      <c r="L14" s="68" t="s">
        <v>39</v>
      </c>
      <c r="M14" s="69">
        <v>16000</v>
      </c>
      <c r="N14" s="111" t="b">
        <v>1</v>
      </c>
      <c r="O14" s="92" t="s">
        <v>167</v>
      </c>
      <c r="R14" s="87" t="b">
        <v>1</v>
      </c>
      <c r="S14" s="114">
        <f t="shared" si="0"/>
        <v>16000</v>
      </c>
      <c r="T14" s="92">
        <v>3</v>
      </c>
      <c r="U14" s="69"/>
      <c r="V14" s="86"/>
      <c r="W14" s="69"/>
      <c r="X14" s="69"/>
      <c r="Y14" s="93"/>
      <c r="Z14" s="90">
        <f t="shared" si="1"/>
        <v>0</v>
      </c>
      <c r="AA14" s="69"/>
      <c r="AB14" s="99">
        <f>Z14+S14</f>
        <v>16000</v>
      </c>
      <c r="AC14" s="117">
        <v>20000</v>
      </c>
    </row>
    <row r="15" spans="1:30" ht="15" x14ac:dyDescent="0.25">
      <c r="A15" s="78" t="s">
        <v>25</v>
      </c>
      <c r="B15" s="66" t="s">
        <v>23</v>
      </c>
      <c r="C15" s="66" t="s">
        <v>140</v>
      </c>
      <c r="D15" s="67">
        <v>46133</v>
      </c>
      <c r="E15" s="83">
        <v>46135</v>
      </c>
      <c r="F15" s="103" t="b">
        <v>1</v>
      </c>
      <c r="G15" s="78" t="s">
        <v>159</v>
      </c>
      <c r="H15" s="106" t="s">
        <v>256</v>
      </c>
      <c r="J15" s="68" t="s">
        <v>128</v>
      </c>
      <c r="L15" s="68" t="s">
        <v>39</v>
      </c>
      <c r="M15" s="69">
        <v>3000</v>
      </c>
      <c r="N15" s="111"/>
      <c r="O15" s="92"/>
      <c r="R15" s="87"/>
      <c r="S15" s="114">
        <f t="shared" si="0"/>
        <v>3000</v>
      </c>
      <c r="T15" s="92">
        <v>2</v>
      </c>
      <c r="U15" s="69"/>
      <c r="V15" s="86"/>
      <c r="W15" s="69"/>
      <c r="X15" s="69"/>
      <c r="Y15" s="93"/>
      <c r="Z15" s="90">
        <f t="shared" si="1"/>
        <v>0</v>
      </c>
      <c r="AA15" s="69"/>
      <c r="AB15" s="99">
        <v>6000</v>
      </c>
      <c r="AC15" s="117">
        <v>6000</v>
      </c>
    </row>
    <row r="16" spans="1:30" ht="15" x14ac:dyDescent="0.25">
      <c r="A16" s="78" t="s">
        <v>13</v>
      </c>
      <c r="B16" s="66" t="s">
        <v>263</v>
      </c>
      <c r="C16" s="66" t="s">
        <v>135</v>
      </c>
      <c r="D16" s="67">
        <v>46140</v>
      </c>
      <c r="E16" s="83">
        <v>46142</v>
      </c>
      <c r="F16" s="103" t="b">
        <v>1</v>
      </c>
      <c r="G16" s="78" t="s">
        <v>146</v>
      </c>
      <c r="H16" s="106" t="s">
        <v>250</v>
      </c>
      <c r="I16" s="68" t="s">
        <v>167</v>
      </c>
      <c r="J16" s="68" t="s">
        <v>11</v>
      </c>
      <c r="L16" s="68">
        <v>536</v>
      </c>
      <c r="M16" s="69">
        <v>15224</v>
      </c>
      <c r="N16" s="111" t="b">
        <v>1</v>
      </c>
      <c r="O16" s="92"/>
      <c r="R16" s="87"/>
      <c r="S16" s="114">
        <f t="shared" si="0"/>
        <v>15224</v>
      </c>
      <c r="T16" s="92">
        <v>3</v>
      </c>
      <c r="U16" s="69"/>
      <c r="V16" s="86"/>
      <c r="W16" s="69"/>
      <c r="X16" s="69"/>
      <c r="Y16" s="93"/>
      <c r="Z16" s="90">
        <f t="shared" si="1"/>
        <v>0</v>
      </c>
      <c r="AA16" s="69"/>
      <c r="AB16" s="99">
        <v>20000</v>
      </c>
      <c r="AC16" s="117">
        <v>5000</v>
      </c>
      <c r="AD16" s="66" t="s">
        <v>91</v>
      </c>
    </row>
    <row r="17" spans="1:29" ht="15" x14ac:dyDescent="0.25">
      <c r="A17" s="78" t="s">
        <v>162</v>
      </c>
      <c r="B17" s="66" t="s">
        <v>23</v>
      </c>
      <c r="C17" s="66" t="s">
        <v>140</v>
      </c>
      <c r="D17" s="67">
        <v>46141</v>
      </c>
      <c r="E17" s="83">
        <v>46266</v>
      </c>
      <c r="F17" s="103" t="b">
        <v>1</v>
      </c>
      <c r="G17" s="78" t="s">
        <v>159</v>
      </c>
      <c r="H17" s="106" t="s">
        <v>258</v>
      </c>
      <c r="J17" s="68" t="s">
        <v>128</v>
      </c>
      <c r="L17" s="68" t="s">
        <v>39</v>
      </c>
      <c r="M17" s="69">
        <v>1500</v>
      </c>
      <c r="N17" s="111"/>
      <c r="O17" s="92"/>
      <c r="R17" s="87"/>
      <c r="S17" s="114">
        <f t="shared" si="0"/>
        <v>1500</v>
      </c>
      <c r="T17" s="92">
        <v>2</v>
      </c>
      <c r="U17" s="69"/>
      <c r="V17" s="86"/>
      <c r="W17" s="69"/>
      <c r="X17" s="69"/>
      <c r="Y17" s="93"/>
      <c r="Z17" s="90">
        <f t="shared" si="1"/>
        <v>0</v>
      </c>
      <c r="AA17" s="69"/>
      <c r="AB17" s="99">
        <v>6000</v>
      </c>
      <c r="AC17" s="117">
        <v>12000</v>
      </c>
    </row>
    <row r="18" spans="1:29" x14ac:dyDescent="0.2">
      <c r="A18" s="78" t="s">
        <v>100</v>
      </c>
      <c r="B18" s="66" t="s">
        <v>38</v>
      </c>
      <c r="C18" s="66" t="s">
        <v>111</v>
      </c>
      <c r="D18" s="67">
        <v>46143</v>
      </c>
      <c r="E18" s="83">
        <v>46143</v>
      </c>
      <c r="F18" s="103" t="b">
        <v>0</v>
      </c>
      <c r="G18" s="78"/>
      <c r="H18" s="108"/>
      <c r="J18" s="68" t="s">
        <v>128</v>
      </c>
      <c r="L18" s="68" t="s">
        <v>39</v>
      </c>
      <c r="M18" s="69"/>
      <c r="N18" s="111"/>
      <c r="O18" s="92"/>
      <c r="R18" s="87"/>
      <c r="S18" s="114">
        <f t="shared" si="0"/>
        <v>0</v>
      </c>
      <c r="T18" s="92">
        <v>4</v>
      </c>
      <c r="U18" s="69"/>
      <c r="V18" s="86"/>
      <c r="W18" s="69"/>
      <c r="X18" s="69"/>
      <c r="Y18" s="93"/>
      <c r="Z18" s="90">
        <f t="shared" si="1"/>
        <v>0</v>
      </c>
      <c r="AA18" s="69"/>
      <c r="AB18" s="99">
        <v>20000</v>
      </c>
      <c r="AC18" s="117">
        <v>10000</v>
      </c>
    </row>
    <row r="19" spans="1:29" ht="15" x14ac:dyDescent="0.25">
      <c r="A19" s="78" t="s">
        <v>188</v>
      </c>
      <c r="B19" s="66" t="s">
        <v>38</v>
      </c>
      <c r="D19" s="67">
        <v>46153</v>
      </c>
      <c r="E19" s="83">
        <v>46156</v>
      </c>
      <c r="F19" s="103" t="b">
        <v>1</v>
      </c>
      <c r="G19" s="78" t="s">
        <v>189</v>
      </c>
      <c r="H19" s="106" t="s">
        <v>261</v>
      </c>
      <c r="J19" s="68" t="s">
        <v>128</v>
      </c>
      <c r="L19" s="68" t="s">
        <v>39</v>
      </c>
      <c r="M19" s="69">
        <v>3000</v>
      </c>
      <c r="N19" s="111"/>
      <c r="O19" s="92"/>
      <c r="R19" s="87"/>
      <c r="S19" s="114">
        <f t="shared" si="0"/>
        <v>3000</v>
      </c>
      <c r="T19" s="92">
        <v>3</v>
      </c>
      <c r="U19" s="69"/>
      <c r="V19" s="86"/>
      <c r="W19" s="69"/>
      <c r="X19" s="69"/>
      <c r="Y19" s="93"/>
      <c r="Z19" s="90">
        <f t="shared" si="1"/>
        <v>0</v>
      </c>
      <c r="AA19" s="69"/>
      <c r="AB19" s="99">
        <v>9000</v>
      </c>
      <c r="AC19" s="117">
        <v>5000</v>
      </c>
    </row>
    <row r="20" spans="1:29" ht="15" x14ac:dyDescent="0.25">
      <c r="A20" s="78" t="s">
        <v>73</v>
      </c>
      <c r="B20" s="66" t="s">
        <v>95</v>
      </c>
      <c r="C20" s="66" t="s">
        <v>142</v>
      </c>
      <c r="D20" s="67">
        <v>46155</v>
      </c>
      <c r="E20" s="83">
        <v>46156</v>
      </c>
      <c r="F20" s="103" t="b">
        <v>1</v>
      </c>
      <c r="G20" s="78" t="s">
        <v>227</v>
      </c>
      <c r="H20" s="109" t="s">
        <v>226</v>
      </c>
      <c r="J20" s="68" t="s">
        <v>128</v>
      </c>
      <c r="L20" s="68" t="s">
        <v>39</v>
      </c>
      <c r="M20" s="69">
        <v>1000</v>
      </c>
      <c r="N20" s="111"/>
      <c r="O20" s="92"/>
      <c r="R20" s="87"/>
      <c r="S20" s="114">
        <f t="shared" si="0"/>
        <v>1000</v>
      </c>
      <c r="T20" s="92">
        <v>2</v>
      </c>
      <c r="U20" s="69"/>
      <c r="V20" s="86"/>
      <c r="W20" s="69"/>
      <c r="X20" s="69"/>
      <c r="Y20" s="93"/>
      <c r="Z20" s="90">
        <f t="shared" si="1"/>
        <v>0</v>
      </c>
      <c r="AA20" s="69"/>
      <c r="AB20" s="99">
        <v>4000</v>
      </c>
      <c r="AC20" s="117">
        <v>0</v>
      </c>
    </row>
    <row r="21" spans="1:29" ht="15" x14ac:dyDescent="0.25">
      <c r="A21" s="78" t="s">
        <v>15</v>
      </c>
      <c r="B21" s="66" t="s">
        <v>263</v>
      </c>
      <c r="C21" s="66" t="s">
        <v>135</v>
      </c>
      <c r="D21" s="67">
        <v>46160</v>
      </c>
      <c r="E21" s="83">
        <v>46163</v>
      </c>
      <c r="F21" s="103" t="b">
        <v>1</v>
      </c>
      <c r="G21" s="78" t="s">
        <v>150</v>
      </c>
      <c r="H21" s="106" t="s">
        <v>251</v>
      </c>
      <c r="I21" s="68" t="s">
        <v>167</v>
      </c>
      <c r="J21" s="68" t="s">
        <v>11</v>
      </c>
      <c r="L21" s="68">
        <v>1608</v>
      </c>
      <c r="M21" s="69">
        <v>8000</v>
      </c>
      <c r="N21" s="111" t="b">
        <v>1</v>
      </c>
      <c r="O21" s="92"/>
      <c r="R21" s="87"/>
      <c r="S21" s="114">
        <f t="shared" si="0"/>
        <v>8000</v>
      </c>
      <c r="T21" s="92">
        <v>7</v>
      </c>
      <c r="U21" s="69"/>
      <c r="V21" s="86"/>
      <c r="W21" s="69"/>
      <c r="X21" s="69"/>
      <c r="Y21" s="93"/>
      <c r="Z21" s="90">
        <f t="shared" si="1"/>
        <v>0</v>
      </c>
      <c r="AA21" s="69"/>
      <c r="AB21" s="99">
        <v>20000</v>
      </c>
      <c r="AC21" s="117">
        <v>15000</v>
      </c>
    </row>
    <row r="22" spans="1:29" ht="15" x14ac:dyDescent="0.25">
      <c r="A22" s="78" t="s">
        <v>232</v>
      </c>
      <c r="B22" s="66" t="s">
        <v>95</v>
      </c>
      <c r="D22" s="67">
        <v>46161</v>
      </c>
      <c r="E22" s="83">
        <v>46163</v>
      </c>
      <c r="F22" s="103" t="b">
        <v>1</v>
      </c>
      <c r="G22" s="78" t="s">
        <v>146</v>
      </c>
      <c r="H22" s="109" t="s">
        <v>236</v>
      </c>
      <c r="J22" s="68" t="s">
        <v>128</v>
      </c>
      <c r="L22" s="68" t="s">
        <v>39</v>
      </c>
      <c r="M22" s="69">
        <v>0</v>
      </c>
      <c r="N22" s="111"/>
      <c r="O22" s="92"/>
      <c r="R22" s="87"/>
      <c r="S22" s="114">
        <f t="shared" si="0"/>
        <v>0</v>
      </c>
      <c r="T22" s="92">
        <v>2</v>
      </c>
      <c r="U22" s="69"/>
      <c r="V22" s="86"/>
      <c r="W22" s="69"/>
      <c r="X22" s="69"/>
      <c r="Y22" s="93"/>
      <c r="Z22" s="90">
        <f t="shared" si="1"/>
        <v>0</v>
      </c>
      <c r="AA22" s="69"/>
      <c r="AB22" s="99">
        <v>4000</v>
      </c>
      <c r="AC22" s="117">
        <v>0</v>
      </c>
    </row>
    <row r="23" spans="1:29" ht="15" x14ac:dyDescent="0.25">
      <c r="A23" s="78" t="s">
        <v>57</v>
      </c>
      <c r="B23" s="66" t="s">
        <v>38</v>
      </c>
      <c r="C23" s="66" t="s">
        <v>49</v>
      </c>
      <c r="D23" s="67">
        <v>46164</v>
      </c>
      <c r="E23" s="83">
        <v>46165</v>
      </c>
      <c r="F23" s="103" t="b">
        <v>0</v>
      </c>
      <c r="G23" s="78" t="s">
        <v>193</v>
      </c>
      <c r="H23" s="106"/>
      <c r="J23" s="68" t="s">
        <v>128</v>
      </c>
      <c r="L23" s="68" t="s">
        <v>39</v>
      </c>
      <c r="M23" s="69">
        <v>1000</v>
      </c>
      <c r="N23" s="111"/>
      <c r="O23" s="92"/>
      <c r="R23" s="87"/>
      <c r="S23" s="114">
        <f t="shared" si="0"/>
        <v>1000</v>
      </c>
      <c r="T23" s="92">
        <v>1</v>
      </c>
      <c r="U23" s="69"/>
      <c r="V23" s="86"/>
      <c r="W23" s="69"/>
      <c r="X23" s="69"/>
      <c r="Y23" s="93"/>
      <c r="Z23" s="90">
        <f t="shared" si="1"/>
        <v>0</v>
      </c>
      <c r="AA23" s="69"/>
      <c r="AB23" s="99">
        <v>15000</v>
      </c>
      <c r="AC23" s="117">
        <v>0</v>
      </c>
    </row>
    <row r="24" spans="1:29" ht="15" x14ac:dyDescent="0.25">
      <c r="A24" s="78" t="s">
        <v>19</v>
      </c>
      <c r="B24" s="66" t="s">
        <v>95</v>
      </c>
      <c r="C24" s="66" t="s">
        <v>95</v>
      </c>
      <c r="D24" s="67">
        <v>46181</v>
      </c>
      <c r="E24" s="83">
        <v>46184</v>
      </c>
      <c r="F24" s="103" t="b">
        <v>1</v>
      </c>
      <c r="G24" s="78" t="s">
        <v>225</v>
      </c>
      <c r="H24" s="109" t="s">
        <v>224</v>
      </c>
      <c r="J24" s="68" t="s">
        <v>128</v>
      </c>
      <c r="L24" s="68" t="s">
        <v>39</v>
      </c>
      <c r="M24" s="69">
        <v>1000</v>
      </c>
      <c r="N24" s="111"/>
      <c r="O24" s="92"/>
      <c r="R24" s="87"/>
      <c r="S24" s="114">
        <f t="shared" si="0"/>
        <v>1000</v>
      </c>
      <c r="T24" s="92">
        <v>2</v>
      </c>
      <c r="U24" s="69"/>
      <c r="V24" s="86"/>
      <c r="W24" s="69"/>
      <c r="X24" s="69"/>
      <c r="Y24" s="93"/>
      <c r="Z24" s="90">
        <f t="shared" si="1"/>
        <v>0</v>
      </c>
      <c r="AA24" s="69"/>
      <c r="AB24" s="99">
        <v>4000</v>
      </c>
      <c r="AC24" s="117">
        <v>0</v>
      </c>
    </row>
    <row r="25" spans="1:29" ht="15" x14ac:dyDescent="0.25">
      <c r="A25" s="78" t="s">
        <v>152</v>
      </c>
      <c r="B25" s="66" t="s">
        <v>263</v>
      </c>
      <c r="D25" s="67">
        <v>46188</v>
      </c>
      <c r="E25" s="83">
        <v>46192</v>
      </c>
      <c r="F25" s="103" t="b">
        <v>1</v>
      </c>
      <c r="G25" s="78" t="s">
        <v>153</v>
      </c>
      <c r="H25" s="109" t="s">
        <v>243</v>
      </c>
      <c r="I25" s="68" t="s">
        <v>168</v>
      </c>
      <c r="M25" s="69"/>
      <c r="N25" s="111"/>
      <c r="O25" s="92"/>
      <c r="R25" s="87"/>
      <c r="S25" s="114">
        <f t="shared" si="0"/>
        <v>0</v>
      </c>
      <c r="T25" s="92"/>
      <c r="U25" s="69"/>
      <c r="V25" s="86"/>
      <c r="W25" s="69"/>
      <c r="X25" s="69"/>
      <c r="Y25" s="93"/>
      <c r="Z25" s="90">
        <f t="shared" si="1"/>
        <v>0</v>
      </c>
      <c r="AA25" s="69"/>
      <c r="AB25" s="99"/>
      <c r="AC25" s="117"/>
    </row>
    <row r="26" spans="1:29" ht="15" x14ac:dyDescent="0.25">
      <c r="A26" s="78" t="s">
        <v>102</v>
      </c>
      <c r="B26" s="66" t="s">
        <v>38</v>
      </c>
      <c r="C26" s="66" t="s">
        <v>111</v>
      </c>
      <c r="D26" s="67">
        <v>46198</v>
      </c>
      <c r="E26" s="83">
        <v>46199</v>
      </c>
      <c r="F26" s="103" t="b">
        <v>0</v>
      </c>
      <c r="G26" s="78" t="s">
        <v>146</v>
      </c>
      <c r="H26" s="109" t="s">
        <v>219</v>
      </c>
      <c r="J26" s="68" t="s">
        <v>128</v>
      </c>
      <c r="L26" s="68" t="s">
        <v>39</v>
      </c>
      <c r="M26" s="69"/>
      <c r="N26" s="111"/>
      <c r="O26" s="92"/>
      <c r="R26" s="87"/>
      <c r="S26" s="114">
        <f t="shared" si="0"/>
        <v>0</v>
      </c>
      <c r="T26" s="92">
        <v>2</v>
      </c>
      <c r="U26" s="69"/>
      <c r="V26" s="86"/>
      <c r="W26" s="69"/>
      <c r="X26" s="69"/>
      <c r="Y26" s="93"/>
      <c r="Z26" s="90">
        <f t="shared" si="1"/>
        <v>0</v>
      </c>
      <c r="AA26" s="69"/>
      <c r="AB26" s="99">
        <v>7000</v>
      </c>
      <c r="AC26" s="117">
        <v>7000</v>
      </c>
    </row>
    <row r="27" spans="1:29" x14ac:dyDescent="0.2">
      <c r="A27" s="78" t="s">
        <v>61</v>
      </c>
      <c r="B27" s="66" t="s">
        <v>38</v>
      </c>
      <c r="C27" s="66" t="s">
        <v>49</v>
      </c>
      <c r="D27" s="67">
        <v>46212</v>
      </c>
      <c r="E27" s="83">
        <v>46216</v>
      </c>
      <c r="F27" s="103" t="b">
        <v>0</v>
      </c>
      <c r="G27" s="78"/>
      <c r="H27" s="108"/>
      <c r="J27" s="68" t="s">
        <v>128</v>
      </c>
      <c r="L27" s="68" t="s">
        <v>39</v>
      </c>
      <c r="M27" s="69">
        <v>1000</v>
      </c>
      <c r="N27" s="111"/>
      <c r="O27" s="92"/>
      <c r="R27" s="87"/>
      <c r="S27" s="114">
        <f t="shared" si="0"/>
        <v>1000</v>
      </c>
      <c r="T27" s="92">
        <v>1</v>
      </c>
      <c r="U27" s="69"/>
      <c r="V27" s="86"/>
      <c r="W27" s="69"/>
      <c r="X27" s="69"/>
      <c r="Y27" s="93"/>
      <c r="Z27" s="90">
        <f t="shared" si="1"/>
        <v>0</v>
      </c>
      <c r="AA27" s="69"/>
      <c r="AB27" s="99">
        <v>15000</v>
      </c>
      <c r="AC27" s="117">
        <v>0</v>
      </c>
    </row>
    <row r="28" spans="1:29" ht="15" x14ac:dyDescent="0.25">
      <c r="A28" s="78" t="s">
        <v>201</v>
      </c>
      <c r="B28" s="66" t="s">
        <v>38</v>
      </c>
      <c r="C28" s="66" t="s">
        <v>49</v>
      </c>
      <c r="D28" s="67">
        <v>46216</v>
      </c>
      <c r="E28" s="83">
        <v>46218</v>
      </c>
      <c r="F28" s="103" t="b">
        <v>1</v>
      </c>
      <c r="G28" s="78" t="s">
        <v>202</v>
      </c>
      <c r="H28" s="109" t="s">
        <v>203</v>
      </c>
      <c r="J28" s="68" t="s">
        <v>128</v>
      </c>
      <c r="L28" s="68" t="s">
        <v>39</v>
      </c>
      <c r="M28" s="69">
        <v>1000</v>
      </c>
      <c r="N28" s="111"/>
      <c r="O28" s="92"/>
      <c r="R28" s="87"/>
      <c r="S28" s="114">
        <f t="shared" si="0"/>
        <v>1000</v>
      </c>
      <c r="T28" s="92">
        <v>2</v>
      </c>
      <c r="U28" s="69"/>
      <c r="V28" s="86"/>
      <c r="W28" s="69"/>
      <c r="X28" s="69"/>
      <c r="Y28" s="93"/>
      <c r="Z28" s="90">
        <f t="shared" si="1"/>
        <v>0</v>
      </c>
      <c r="AA28" s="69"/>
      <c r="AB28" s="99">
        <v>15000</v>
      </c>
      <c r="AC28" s="117">
        <v>0</v>
      </c>
    </row>
    <row r="29" spans="1:29" ht="15" x14ac:dyDescent="0.25">
      <c r="A29" s="78" t="s">
        <v>40</v>
      </c>
      <c r="B29" s="66" t="s">
        <v>38</v>
      </c>
      <c r="D29" s="67">
        <v>46223</v>
      </c>
      <c r="E29" s="83">
        <v>46227</v>
      </c>
      <c r="F29" s="103" t="b">
        <v>1</v>
      </c>
      <c r="G29" s="78" t="s">
        <v>198</v>
      </c>
      <c r="H29" s="106" t="s">
        <v>197</v>
      </c>
      <c r="J29" s="68" t="s">
        <v>128</v>
      </c>
      <c r="L29" s="68" t="s">
        <v>39</v>
      </c>
      <c r="M29" s="69">
        <v>500</v>
      </c>
      <c r="N29" s="111"/>
      <c r="O29" s="92"/>
      <c r="R29" s="87"/>
      <c r="S29" s="114">
        <f t="shared" si="0"/>
        <v>500</v>
      </c>
      <c r="T29" s="92">
        <v>2</v>
      </c>
      <c r="U29" s="69"/>
      <c r="V29" s="86"/>
      <c r="W29" s="69"/>
      <c r="X29" s="69"/>
      <c r="Y29" s="93"/>
      <c r="Z29" s="90">
        <f t="shared" si="1"/>
        <v>0</v>
      </c>
      <c r="AA29" s="69"/>
      <c r="AB29" s="99">
        <v>16500</v>
      </c>
      <c r="AC29" s="117">
        <v>0</v>
      </c>
    </row>
    <row r="30" spans="1:29" ht="15" x14ac:dyDescent="0.25">
      <c r="A30" s="78" t="s">
        <v>27</v>
      </c>
      <c r="B30" s="66" t="s">
        <v>23</v>
      </c>
      <c r="C30" s="66" t="s">
        <v>140</v>
      </c>
      <c r="D30" s="67">
        <v>46223</v>
      </c>
      <c r="E30" s="83">
        <v>46229</v>
      </c>
      <c r="F30" s="103" t="b">
        <v>1</v>
      </c>
      <c r="G30" s="78" t="s">
        <v>160</v>
      </c>
      <c r="H30" s="106" t="s">
        <v>257</v>
      </c>
      <c r="J30" s="68" t="s">
        <v>128</v>
      </c>
      <c r="L30" s="68" t="s">
        <v>39</v>
      </c>
      <c r="M30" s="69">
        <v>3000</v>
      </c>
      <c r="N30" s="111"/>
      <c r="O30" s="92"/>
      <c r="R30" s="87"/>
      <c r="S30" s="114">
        <f t="shared" si="0"/>
        <v>3000</v>
      </c>
      <c r="T30" s="92">
        <v>2</v>
      </c>
      <c r="U30" s="69"/>
      <c r="V30" s="86"/>
      <c r="W30" s="69"/>
      <c r="X30" s="69"/>
      <c r="Y30" s="93"/>
      <c r="Z30" s="90">
        <f t="shared" si="1"/>
        <v>0</v>
      </c>
      <c r="AA30" s="69"/>
      <c r="AB30" s="99">
        <v>6000</v>
      </c>
      <c r="AC30" s="117">
        <v>0</v>
      </c>
    </row>
    <row r="31" spans="1:29" ht="15" x14ac:dyDescent="0.25">
      <c r="A31" s="78" t="s">
        <v>82</v>
      </c>
      <c r="B31" s="66" t="s">
        <v>95</v>
      </c>
      <c r="D31" s="67">
        <v>46245</v>
      </c>
      <c r="E31" s="83">
        <v>46247</v>
      </c>
      <c r="F31" s="103" t="b">
        <v>1</v>
      </c>
      <c r="G31" s="78" t="s">
        <v>157</v>
      </c>
      <c r="H31" s="109" t="s">
        <v>237</v>
      </c>
      <c r="J31" s="68" t="s">
        <v>128</v>
      </c>
      <c r="L31" s="68" t="s">
        <v>39</v>
      </c>
      <c r="M31" s="69">
        <v>5000</v>
      </c>
      <c r="N31" s="111"/>
      <c r="O31" s="92"/>
      <c r="R31" s="87"/>
      <c r="S31" s="114">
        <f t="shared" si="0"/>
        <v>5000</v>
      </c>
      <c r="T31" s="92">
        <v>3</v>
      </c>
      <c r="U31" s="69"/>
      <c r="V31" s="86"/>
      <c r="W31" s="69"/>
      <c r="X31" s="69"/>
      <c r="Y31" s="93"/>
      <c r="Z31" s="90">
        <f t="shared" si="1"/>
        <v>0</v>
      </c>
      <c r="AA31" s="69"/>
      <c r="AB31" s="99">
        <v>11000</v>
      </c>
      <c r="AC31" s="117">
        <v>11000</v>
      </c>
    </row>
    <row r="32" spans="1:29" ht="15" x14ac:dyDescent="0.25">
      <c r="A32" s="78" t="s">
        <v>103</v>
      </c>
      <c r="B32" s="66" t="s">
        <v>38</v>
      </c>
      <c r="C32" s="66" t="s">
        <v>111</v>
      </c>
      <c r="D32" s="67">
        <v>46276</v>
      </c>
      <c r="E32" s="83">
        <v>46278</v>
      </c>
      <c r="F32" s="103" t="b">
        <v>0</v>
      </c>
      <c r="G32" s="78" t="s">
        <v>220</v>
      </c>
      <c r="H32" s="109" t="s">
        <v>223</v>
      </c>
      <c r="J32" s="68" t="s">
        <v>128</v>
      </c>
      <c r="L32" s="68" t="s">
        <v>39</v>
      </c>
      <c r="M32" s="69"/>
      <c r="N32" s="111"/>
      <c r="O32" s="92"/>
      <c r="R32" s="87"/>
      <c r="S32" s="114">
        <f t="shared" si="0"/>
        <v>0</v>
      </c>
      <c r="T32" s="92">
        <v>2</v>
      </c>
      <c r="U32" s="69"/>
      <c r="V32" s="86"/>
      <c r="W32" s="69"/>
      <c r="X32" s="69"/>
      <c r="Y32" s="93"/>
      <c r="Z32" s="90">
        <f t="shared" si="1"/>
        <v>0</v>
      </c>
      <c r="AA32" s="69"/>
      <c r="AB32" s="99">
        <v>3500</v>
      </c>
      <c r="AC32" s="117"/>
    </row>
    <row r="33" spans="1:30" ht="15" x14ac:dyDescent="0.25">
      <c r="A33" s="78" t="s">
        <v>17</v>
      </c>
      <c r="B33" s="66" t="s">
        <v>263</v>
      </c>
      <c r="C33" s="66" t="s">
        <v>135</v>
      </c>
      <c r="D33" s="67">
        <v>46279</v>
      </c>
      <c r="E33" s="83">
        <v>46281</v>
      </c>
      <c r="F33" s="103" t="b">
        <v>1</v>
      </c>
      <c r="G33" s="78" t="s">
        <v>145</v>
      </c>
      <c r="H33" s="106" t="s">
        <v>252</v>
      </c>
      <c r="I33" s="68" t="s">
        <v>167</v>
      </c>
      <c r="J33" s="68" t="s">
        <v>11</v>
      </c>
      <c r="L33" s="68">
        <v>2043</v>
      </c>
      <c r="M33" s="69">
        <v>6300</v>
      </c>
      <c r="N33" s="111" t="b">
        <v>1</v>
      </c>
      <c r="O33" s="92"/>
      <c r="R33" s="87"/>
      <c r="S33" s="114">
        <f t="shared" si="0"/>
        <v>6300</v>
      </c>
      <c r="T33" s="92">
        <v>3</v>
      </c>
      <c r="U33" s="69"/>
      <c r="V33" s="86"/>
      <c r="W33" s="69"/>
      <c r="X33" s="69"/>
      <c r="Y33" s="93"/>
      <c r="Z33" s="90">
        <f t="shared" si="1"/>
        <v>0</v>
      </c>
      <c r="AA33" s="69"/>
      <c r="AB33" s="99">
        <v>11000</v>
      </c>
      <c r="AC33" s="117">
        <v>11000</v>
      </c>
    </row>
    <row r="34" spans="1:30" ht="15" x14ac:dyDescent="0.25">
      <c r="A34" s="78" t="s">
        <v>165</v>
      </c>
      <c r="B34" s="66" t="s">
        <v>23</v>
      </c>
      <c r="C34" s="66" t="s">
        <v>140</v>
      </c>
      <c r="D34" s="67">
        <v>46279</v>
      </c>
      <c r="E34" s="83">
        <v>46284</v>
      </c>
      <c r="F34" s="103" t="b">
        <v>1</v>
      </c>
      <c r="G34" s="78" t="s">
        <v>166</v>
      </c>
      <c r="H34" s="106" t="s">
        <v>259</v>
      </c>
      <c r="J34" s="68" t="s">
        <v>128</v>
      </c>
      <c r="L34" s="68" t="s">
        <v>39</v>
      </c>
      <c r="M34" s="69">
        <v>2500</v>
      </c>
      <c r="N34" s="111"/>
      <c r="O34" s="92"/>
      <c r="R34" s="87"/>
      <c r="S34" s="114">
        <f t="shared" ref="S34:S51" si="2">M34+Q34</f>
        <v>2500</v>
      </c>
      <c r="T34" s="92">
        <v>4</v>
      </c>
      <c r="U34" s="69"/>
      <c r="V34" s="86"/>
      <c r="W34" s="69"/>
      <c r="X34" s="69"/>
      <c r="Y34" s="93"/>
      <c r="Z34" s="90">
        <f t="shared" ref="Z34:Z51" si="3">(U34*V34)+(W34*V34)+(SUM(X34:Y34)*V34)</f>
        <v>0</v>
      </c>
      <c r="AA34" s="69"/>
      <c r="AB34" s="99">
        <v>10000</v>
      </c>
      <c r="AC34" s="117">
        <v>5000</v>
      </c>
    </row>
    <row r="35" spans="1:30" ht="15" x14ac:dyDescent="0.25">
      <c r="A35" s="78" t="s">
        <v>70</v>
      </c>
      <c r="B35" s="66" t="s">
        <v>263</v>
      </c>
      <c r="C35" s="66" t="s">
        <v>135</v>
      </c>
      <c r="D35" s="67">
        <v>46307</v>
      </c>
      <c r="E35" s="83">
        <v>46309</v>
      </c>
      <c r="F35" s="103" t="b">
        <v>1</v>
      </c>
      <c r="G35" s="78" t="s">
        <v>146</v>
      </c>
      <c r="H35" s="106"/>
      <c r="J35" s="68" t="s">
        <v>128</v>
      </c>
      <c r="M35" s="69"/>
      <c r="N35" s="111"/>
      <c r="O35" s="92"/>
      <c r="R35" s="87"/>
      <c r="S35" s="114">
        <f t="shared" si="2"/>
        <v>0</v>
      </c>
      <c r="T35" s="92">
        <v>4</v>
      </c>
      <c r="U35" s="69"/>
      <c r="V35" s="86"/>
      <c r="W35" s="69"/>
      <c r="X35" s="69"/>
      <c r="Y35" s="93"/>
      <c r="Z35" s="90">
        <f t="shared" si="3"/>
        <v>0</v>
      </c>
      <c r="AA35" s="69"/>
      <c r="AB35" s="99">
        <v>5000</v>
      </c>
      <c r="AC35" s="117">
        <v>5000</v>
      </c>
      <c r="AD35" s="66" t="s">
        <v>121</v>
      </c>
    </row>
    <row r="36" spans="1:30" ht="15" x14ac:dyDescent="0.25">
      <c r="A36" s="78" t="s">
        <v>233</v>
      </c>
      <c r="B36" s="66" t="s">
        <v>95</v>
      </c>
      <c r="D36" s="67">
        <v>46321</v>
      </c>
      <c r="E36" s="83">
        <v>46323</v>
      </c>
      <c r="F36" s="103" t="b">
        <v>1</v>
      </c>
      <c r="G36" s="78" t="s">
        <v>234</v>
      </c>
      <c r="H36" s="109" t="s">
        <v>235</v>
      </c>
      <c r="J36" s="68" t="s">
        <v>128</v>
      </c>
      <c r="L36" s="68" t="s">
        <v>39</v>
      </c>
      <c r="M36" s="69">
        <v>0</v>
      </c>
      <c r="N36" s="111"/>
      <c r="O36" s="92"/>
      <c r="R36" s="87"/>
      <c r="S36" s="114">
        <f t="shared" si="2"/>
        <v>0</v>
      </c>
      <c r="T36" s="92">
        <v>2</v>
      </c>
      <c r="U36" s="69"/>
      <c r="V36" s="86"/>
      <c r="W36" s="69"/>
      <c r="X36" s="69"/>
      <c r="Y36" s="93"/>
      <c r="Z36" s="90">
        <f t="shared" si="3"/>
        <v>0</v>
      </c>
      <c r="AA36" s="69"/>
      <c r="AB36" s="99">
        <v>4000</v>
      </c>
      <c r="AC36" s="117">
        <v>0</v>
      </c>
    </row>
    <row r="37" spans="1:30" ht="15" x14ac:dyDescent="0.25">
      <c r="A37" s="78" t="s">
        <v>47</v>
      </c>
      <c r="B37" s="66" t="s">
        <v>38</v>
      </c>
      <c r="C37" s="66" t="s">
        <v>49</v>
      </c>
      <c r="D37" s="67">
        <v>46322</v>
      </c>
      <c r="E37" s="83">
        <v>46324</v>
      </c>
      <c r="F37" s="103" t="b">
        <v>1</v>
      </c>
      <c r="G37" s="78" t="s">
        <v>190</v>
      </c>
      <c r="H37" s="106" t="s">
        <v>196</v>
      </c>
      <c r="J37" s="68" t="s">
        <v>11</v>
      </c>
      <c r="L37" s="68" t="s">
        <v>46</v>
      </c>
      <c r="M37" s="69">
        <v>25000</v>
      </c>
      <c r="N37" s="111"/>
      <c r="O37" s="92"/>
      <c r="R37" s="87"/>
      <c r="S37" s="114">
        <f t="shared" si="2"/>
        <v>25000</v>
      </c>
      <c r="T37" s="92">
        <v>4</v>
      </c>
      <c r="U37" s="69"/>
      <c r="V37" s="86"/>
      <c r="W37" s="69"/>
      <c r="X37" s="69"/>
      <c r="Y37" s="93"/>
      <c r="Z37" s="90">
        <f t="shared" si="3"/>
        <v>0</v>
      </c>
      <c r="AA37" s="69"/>
      <c r="AB37" s="99">
        <v>40000</v>
      </c>
      <c r="AC37" s="117">
        <v>20000</v>
      </c>
      <c r="AD37" s="66" t="s">
        <v>90</v>
      </c>
    </row>
    <row r="38" spans="1:30" x14ac:dyDescent="0.2">
      <c r="A38" s="78" t="s">
        <v>101</v>
      </c>
      <c r="B38" s="66" t="s">
        <v>38</v>
      </c>
      <c r="C38" s="66" t="s">
        <v>111</v>
      </c>
      <c r="D38" s="67">
        <v>46322</v>
      </c>
      <c r="E38" s="83">
        <v>46325</v>
      </c>
      <c r="F38" s="103" t="b">
        <v>0</v>
      </c>
      <c r="G38" s="78" t="s">
        <v>218</v>
      </c>
      <c r="H38" s="108"/>
      <c r="J38" s="68" t="s">
        <v>128</v>
      </c>
      <c r="L38" s="68" t="s">
        <v>39</v>
      </c>
      <c r="M38" s="69"/>
      <c r="N38" s="111"/>
      <c r="O38" s="92"/>
      <c r="R38" s="87"/>
      <c r="S38" s="114">
        <f t="shared" si="2"/>
        <v>0</v>
      </c>
      <c r="T38" s="92">
        <v>2</v>
      </c>
      <c r="U38" s="69"/>
      <c r="V38" s="86"/>
      <c r="W38" s="69"/>
      <c r="X38" s="69"/>
      <c r="Y38" s="93"/>
      <c r="Z38" s="90">
        <f t="shared" si="3"/>
        <v>0</v>
      </c>
      <c r="AA38" s="69"/>
      <c r="AB38" s="99">
        <v>6000</v>
      </c>
      <c r="AC38" s="117">
        <v>12000</v>
      </c>
    </row>
    <row r="39" spans="1:30" ht="15" x14ac:dyDescent="0.25">
      <c r="A39" s="78" t="s">
        <v>31</v>
      </c>
      <c r="B39" s="66" t="s">
        <v>23</v>
      </c>
      <c r="C39" s="66" t="s">
        <v>140</v>
      </c>
      <c r="D39" s="67">
        <v>46323</v>
      </c>
      <c r="E39" s="83">
        <v>46324</v>
      </c>
      <c r="F39" s="103" t="b">
        <v>1</v>
      </c>
      <c r="G39" s="78" t="s">
        <v>163</v>
      </c>
      <c r="H39" s="106" t="s">
        <v>31</v>
      </c>
      <c r="J39" s="68" t="s">
        <v>128</v>
      </c>
      <c r="L39" s="68" t="s">
        <v>39</v>
      </c>
      <c r="M39" s="69">
        <v>6000</v>
      </c>
      <c r="N39" s="111"/>
      <c r="O39" s="92"/>
      <c r="R39" s="87"/>
      <c r="S39" s="114">
        <f t="shared" si="2"/>
        <v>6000</v>
      </c>
      <c r="T39" s="92">
        <v>1</v>
      </c>
      <c r="U39" s="69"/>
      <c r="V39" s="86"/>
      <c r="W39" s="69"/>
      <c r="X39" s="69"/>
      <c r="Y39" s="93"/>
      <c r="Z39" s="90">
        <f t="shared" si="3"/>
        <v>0</v>
      </c>
      <c r="AA39" s="69"/>
      <c r="AB39" s="99">
        <v>8000</v>
      </c>
      <c r="AC39" s="117">
        <v>0</v>
      </c>
    </row>
    <row r="40" spans="1:30" ht="15" x14ac:dyDescent="0.25">
      <c r="A40" s="78" t="s">
        <v>155</v>
      </c>
      <c r="B40" s="66" t="s">
        <v>263</v>
      </c>
      <c r="C40" s="66" t="s">
        <v>135</v>
      </c>
      <c r="D40" s="67">
        <v>46341</v>
      </c>
      <c r="E40" s="83">
        <v>46343</v>
      </c>
      <c r="F40" s="103" t="b">
        <v>1</v>
      </c>
      <c r="G40" s="78" t="s">
        <v>156</v>
      </c>
      <c r="H40" s="109" t="s">
        <v>245</v>
      </c>
      <c r="M40" s="69"/>
      <c r="N40" s="111"/>
      <c r="O40" s="92"/>
      <c r="R40" s="87"/>
      <c r="S40" s="114">
        <f t="shared" si="2"/>
        <v>0</v>
      </c>
      <c r="T40" s="92"/>
      <c r="U40" s="69"/>
      <c r="V40" s="86"/>
      <c r="W40" s="69"/>
      <c r="X40" s="69"/>
      <c r="Y40" s="93"/>
      <c r="Z40" s="90">
        <f t="shared" si="3"/>
        <v>0</v>
      </c>
      <c r="AA40" s="69"/>
      <c r="AB40" s="99"/>
      <c r="AC40" s="117"/>
    </row>
    <row r="41" spans="1:30" ht="15" x14ac:dyDescent="0.25">
      <c r="A41" s="78" t="s">
        <v>154</v>
      </c>
      <c r="B41" s="66" t="s">
        <v>142</v>
      </c>
      <c r="D41" s="67">
        <v>46343</v>
      </c>
      <c r="E41" s="83">
        <v>46345</v>
      </c>
      <c r="F41" s="103" t="b">
        <v>1</v>
      </c>
      <c r="G41" s="78" t="s">
        <v>157</v>
      </c>
      <c r="H41" s="109" t="s">
        <v>244</v>
      </c>
      <c r="M41" s="69"/>
      <c r="N41" s="111"/>
      <c r="O41" s="92"/>
      <c r="R41" s="87"/>
      <c r="S41" s="114">
        <f t="shared" si="2"/>
        <v>0</v>
      </c>
      <c r="T41" s="92" t="s">
        <v>114</v>
      </c>
      <c r="U41" s="69"/>
      <c r="V41" s="86"/>
      <c r="W41" s="69"/>
      <c r="X41" s="69"/>
      <c r="Y41" s="93"/>
      <c r="Z41" s="90">
        <f t="shared" si="3"/>
        <v>0</v>
      </c>
      <c r="AA41" s="69"/>
      <c r="AB41" s="99"/>
      <c r="AC41" s="117"/>
    </row>
    <row r="42" spans="1:30" ht="15" x14ac:dyDescent="0.25">
      <c r="A42" s="78" t="s">
        <v>104</v>
      </c>
      <c r="B42" s="66" t="s">
        <v>38</v>
      </c>
      <c r="C42" s="66" t="s">
        <v>111</v>
      </c>
      <c r="D42" s="67">
        <v>46356</v>
      </c>
      <c r="E42" s="83">
        <v>46359</v>
      </c>
      <c r="F42" s="103" t="b">
        <v>1</v>
      </c>
      <c r="G42" s="78" t="s">
        <v>159</v>
      </c>
      <c r="H42" s="109" t="s">
        <v>221</v>
      </c>
      <c r="J42" s="68" t="s">
        <v>128</v>
      </c>
      <c r="L42" s="68" t="s">
        <v>39</v>
      </c>
      <c r="M42" s="69"/>
      <c r="N42" s="111"/>
      <c r="O42" s="92"/>
      <c r="R42" s="87"/>
      <c r="S42" s="114">
        <f t="shared" si="2"/>
        <v>0</v>
      </c>
      <c r="T42" s="92">
        <v>3</v>
      </c>
      <c r="U42" s="69"/>
      <c r="V42" s="86"/>
      <c r="W42" s="69"/>
      <c r="X42" s="69"/>
      <c r="Y42" s="93"/>
      <c r="Z42" s="90">
        <f t="shared" si="3"/>
        <v>0</v>
      </c>
      <c r="AA42" s="69"/>
      <c r="AB42" s="99">
        <v>8500</v>
      </c>
      <c r="AC42" s="117">
        <v>8500</v>
      </c>
    </row>
    <row r="43" spans="1:30" ht="15" x14ac:dyDescent="0.25">
      <c r="A43" s="78" t="s">
        <v>67</v>
      </c>
      <c r="B43" s="66" t="s">
        <v>38</v>
      </c>
      <c r="C43" s="66" t="s">
        <v>49</v>
      </c>
      <c r="D43" s="67">
        <v>46357</v>
      </c>
      <c r="E43" s="83">
        <v>46360</v>
      </c>
      <c r="F43" s="103" t="b">
        <v>0</v>
      </c>
      <c r="G43" s="78" t="s">
        <v>207</v>
      </c>
      <c r="H43" s="109" t="s">
        <v>206</v>
      </c>
      <c r="J43" s="68" t="s">
        <v>128</v>
      </c>
      <c r="L43" s="68" t="s">
        <v>39</v>
      </c>
      <c r="M43" s="69">
        <v>2000</v>
      </c>
      <c r="N43" s="111"/>
      <c r="O43" s="92"/>
      <c r="R43" s="87"/>
      <c r="S43" s="114">
        <f t="shared" si="2"/>
        <v>2000</v>
      </c>
      <c r="T43" s="92">
        <v>1</v>
      </c>
      <c r="U43" s="69"/>
      <c r="V43" s="86"/>
      <c r="W43" s="69"/>
      <c r="X43" s="69"/>
      <c r="Y43" s="93"/>
      <c r="Z43" s="90">
        <f t="shared" si="3"/>
        <v>0</v>
      </c>
      <c r="AA43" s="69"/>
      <c r="AB43" s="99">
        <v>15000</v>
      </c>
      <c r="AC43" s="117">
        <v>0</v>
      </c>
    </row>
    <row r="44" spans="1:30" ht="15" x14ac:dyDescent="0.25">
      <c r="A44" s="78" t="s">
        <v>191</v>
      </c>
      <c r="B44" s="66" t="s">
        <v>38</v>
      </c>
      <c r="C44" s="66" t="s">
        <v>49</v>
      </c>
      <c r="D44" s="67">
        <v>46525</v>
      </c>
      <c r="E44" s="83">
        <v>46527</v>
      </c>
      <c r="F44" s="103" t="b">
        <v>1</v>
      </c>
      <c r="G44" s="78" t="s">
        <v>192</v>
      </c>
      <c r="H44" s="106" t="s">
        <v>262</v>
      </c>
      <c r="J44" s="68" t="s">
        <v>128</v>
      </c>
      <c r="L44" s="68" t="s">
        <v>39</v>
      </c>
      <c r="M44" s="69">
        <v>1000</v>
      </c>
      <c r="N44" s="111"/>
      <c r="O44" s="92"/>
      <c r="R44" s="87"/>
      <c r="S44" s="114">
        <f t="shared" si="2"/>
        <v>1000</v>
      </c>
      <c r="T44" s="92">
        <v>1</v>
      </c>
      <c r="U44" s="69"/>
      <c r="V44" s="86"/>
      <c r="W44" s="69"/>
      <c r="X44" s="69"/>
      <c r="Y44" s="93"/>
      <c r="Z44" s="90">
        <f t="shared" si="3"/>
        <v>0</v>
      </c>
      <c r="AA44" s="69"/>
      <c r="AB44" s="99">
        <v>15000</v>
      </c>
      <c r="AC44" s="117">
        <v>0</v>
      </c>
    </row>
    <row r="45" spans="1:30" ht="15" x14ac:dyDescent="0.25">
      <c r="A45" s="78" t="s">
        <v>59</v>
      </c>
      <c r="B45" s="66" t="s">
        <v>38</v>
      </c>
      <c r="C45" s="66" t="s">
        <v>49</v>
      </c>
      <c r="D45" s="67">
        <v>46552</v>
      </c>
      <c r="E45" s="83">
        <v>46558</v>
      </c>
      <c r="F45" s="103" t="b">
        <v>1</v>
      </c>
      <c r="G45" s="78" t="s">
        <v>199</v>
      </c>
      <c r="H45" s="109" t="s">
        <v>200</v>
      </c>
      <c r="J45" s="68" t="s">
        <v>128</v>
      </c>
      <c r="L45" s="68" t="s">
        <v>39</v>
      </c>
      <c r="M45" s="69">
        <v>1000</v>
      </c>
      <c r="N45" s="111"/>
      <c r="O45" s="92"/>
      <c r="R45" s="87"/>
      <c r="S45" s="114">
        <f t="shared" si="2"/>
        <v>1000</v>
      </c>
      <c r="T45" s="92">
        <v>1</v>
      </c>
      <c r="U45" s="69"/>
      <c r="V45" s="86"/>
      <c r="W45" s="69"/>
      <c r="X45" s="69"/>
      <c r="Y45" s="93"/>
      <c r="Z45" s="90">
        <f t="shared" si="3"/>
        <v>0</v>
      </c>
      <c r="AA45" s="69"/>
      <c r="AB45" s="99">
        <v>15000</v>
      </c>
      <c r="AC45" s="117">
        <v>0</v>
      </c>
    </row>
    <row r="46" spans="1:30" ht="15" x14ac:dyDescent="0.25">
      <c r="A46" s="78" t="s">
        <v>65</v>
      </c>
      <c r="B46" s="66" t="s">
        <v>38</v>
      </c>
      <c r="C46" s="66" t="s">
        <v>49</v>
      </c>
      <c r="D46" s="67">
        <v>46706</v>
      </c>
      <c r="E46" s="83">
        <v>46710</v>
      </c>
      <c r="F46" s="103" t="b">
        <v>1</v>
      </c>
      <c r="G46" s="78" t="s">
        <v>204</v>
      </c>
      <c r="H46" s="109" t="s">
        <v>205</v>
      </c>
      <c r="J46" s="68" t="s">
        <v>128</v>
      </c>
      <c r="L46" s="68" t="s">
        <v>39</v>
      </c>
      <c r="M46" s="69">
        <v>10000</v>
      </c>
      <c r="N46" s="111"/>
      <c r="O46" s="92"/>
      <c r="R46" s="87"/>
      <c r="S46" s="114">
        <f t="shared" si="2"/>
        <v>10000</v>
      </c>
      <c r="T46" s="92">
        <v>1</v>
      </c>
      <c r="U46" s="69"/>
      <c r="V46" s="86"/>
      <c r="W46" s="69"/>
      <c r="X46" s="69"/>
      <c r="Y46" s="93"/>
      <c r="Z46" s="90">
        <f t="shared" si="3"/>
        <v>0</v>
      </c>
      <c r="AA46" s="69"/>
      <c r="AB46" s="99">
        <v>15000</v>
      </c>
      <c r="AC46" s="117">
        <v>20000</v>
      </c>
    </row>
    <row r="47" spans="1:30" ht="15" x14ac:dyDescent="0.25">
      <c r="A47" s="78" t="s">
        <v>86</v>
      </c>
      <c r="B47" s="66" t="s">
        <v>95</v>
      </c>
      <c r="D47" s="67" t="s">
        <v>241</v>
      </c>
      <c r="E47" s="83">
        <v>46078</v>
      </c>
      <c r="F47" s="103" t="b">
        <v>1</v>
      </c>
      <c r="G47" s="78" t="s">
        <v>242</v>
      </c>
      <c r="H47" s="109" t="s">
        <v>240</v>
      </c>
      <c r="J47" s="68" t="s">
        <v>128</v>
      </c>
      <c r="L47" s="68" t="s">
        <v>39</v>
      </c>
      <c r="M47" s="69">
        <v>1000</v>
      </c>
      <c r="N47" s="111"/>
      <c r="O47" s="92"/>
      <c r="R47" s="87"/>
      <c r="S47" s="114">
        <f t="shared" si="2"/>
        <v>1000</v>
      </c>
      <c r="T47" s="92">
        <v>2</v>
      </c>
      <c r="U47" s="69"/>
      <c r="V47" s="86"/>
      <c r="W47" s="69"/>
      <c r="X47" s="69"/>
      <c r="Y47" s="93"/>
      <c r="Z47" s="90">
        <f t="shared" si="3"/>
        <v>0</v>
      </c>
      <c r="AA47" s="69"/>
      <c r="AB47" s="99">
        <v>6000</v>
      </c>
      <c r="AC47" s="117">
        <v>0</v>
      </c>
    </row>
    <row r="48" spans="1:30" ht="15" x14ac:dyDescent="0.25">
      <c r="A48" s="78" t="s">
        <v>211</v>
      </c>
      <c r="B48" s="66" t="s">
        <v>38</v>
      </c>
      <c r="C48" s="66" t="s">
        <v>111</v>
      </c>
      <c r="D48" s="67" t="s">
        <v>212</v>
      </c>
      <c r="E48" s="83">
        <v>46191</v>
      </c>
      <c r="F48" s="103" t="b">
        <v>1</v>
      </c>
      <c r="G48" s="78" t="s">
        <v>213</v>
      </c>
      <c r="H48" s="109" t="s">
        <v>214</v>
      </c>
      <c r="J48" s="68" t="s">
        <v>128</v>
      </c>
      <c r="L48" s="68" t="s">
        <v>39</v>
      </c>
      <c r="M48" s="69"/>
      <c r="N48" s="111"/>
      <c r="O48" s="92"/>
      <c r="R48" s="87"/>
      <c r="S48" s="114">
        <f t="shared" si="2"/>
        <v>0</v>
      </c>
      <c r="T48" s="92">
        <v>4</v>
      </c>
      <c r="U48" s="69"/>
      <c r="V48" s="86"/>
      <c r="W48" s="69"/>
      <c r="X48" s="69"/>
      <c r="Y48" s="93"/>
      <c r="Z48" s="90">
        <f t="shared" si="3"/>
        <v>0</v>
      </c>
      <c r="AA48" s="69"/>
      <c r="AB48" s="99">
        <v>30000</v>
      </c>
      <c r="AC48" s="117"/>
    </row>
    <row r="49" spans="1:30" x14ac:dyDescent="0.2">
      <c r="A49" s="78" t="s">
        <v>84</v>
      </c>
      <c r="B49" s="66" t="s">
        <v>95</v>
      </c>
      <c r="D49" s="67"/>
      <c r="E49" s="83"/>
      <c r="F49" s="103" t="b">
        <v>0</v>
      </c>
      <c r="G49" s="78"/>
      <c r="H49" s="108"/>
      <c r="J49" s="68" t="s">
        <v>128</v>
      </c>
      <c r="L49" s="68" t="s">
        <v>39</v>
      </c>
      <c r="M49" s="69">
        <v>1000</v>
      </c>
      <c r="N49" s="111"/>
      <c r="O49" s="92"/>
      <c r="R49" s="87"/>
      <c r="S49" s="114">
        <f t="shared" si="2"/>
        <v>1000</v>
      </c>
      <c r="T49" s="92">
        <v>2</v>
      </c>
      <c r="U49" s="69"/>
      <c r="V49" s="86"/>
      <c r="W49" s="69"/>
      <c r="X49" s="69"/>
      <c r="Y49" s="93"/>
      <c r="Z49" s="90">
        <f t="shared" si="3"/>
        <v>0</v>
      </c>
      <c r="AA49" s="69"/>
      <c r="AB49" s="99">
        <v>4000</v>
      </c>
      <c r="AC49" s="117">
        <v>4000</v>
      </c>
    </row>
    <row r="50" spans="1:30" x14ac:dyDescent="0.2">
      <c r="A50" s="78"/>
      <c r="E50" s="79"/>
      <c r="F50" s="104" t="b">
        <v>0</v>
      </c>
      <c r="G50" s="78"/>
      <c r="H50" s="108"/>
      <c r="M50" s="69"/>
      <c r="N50" s="111" t="b">
        <v>0</v>
      </c>
      <c r="O50" s="92"/>
      <c r="R50" s="87" t="b">
        <v>0</v>
      </c>
      <c r="S50" s="114">
        <f t="shared" si="2"/>
        <v>0</v>
      </c>
      <c r="T50" s="92"/>
      <c r="U50" s="69"/>
      <c r="V50" s="86"/>
      <c r="W50" s="69"/>
      <c r="X50" s="69"/>
      <c r="Y50" s="93"/>
      <c r="Z50" s="90">
        <f t="shared" si="3"/>
        <v>0</v>
      </c>
      <c r="AA50" s="69"/>
      <c r="AB50" s="99"/>
      <c r="AC50" s="117"/>
    </row>
    <row r="51" spans="1:30" ht="13.5" thickBot="1" x14ac:dyDescent="0.25">
      <c r="A51" s="80"/>
      <c r="B51" s="81"/>
      <c r="C51" s="81"/>
      <c r="D51" s="81"/>
      <c r="E51" s="82"/>
      <c r="F51" s="105" t="b">
        <v>0</v>
      </c>
      <c r="G51" s="80"/>
      <c r="H51" s="110"/>
      <c r="I51" s="101"/>
      <c r="J51" s="101"/>
      <c r="K51" s="81"/>
      <c r="L51" s="85"/>
      <c r="M51" s="95"/>
      <c r="N51" s="112" t="b">
        <v>0</v>
      </c>
      <c r="O51" s="94"/>
      <c r="P51" s="81"/>
      <c r="Q51" s="81"/>
      <c r="R51" s="88" t="b">
        <v>0</v>
      </c>
      <c r="S51" s="115">
        <f t="shared" si="2"/>
        <v>0</v>
      </c>
      <c r="T51" s="94"/>
      <c r="U51" s="95"/>
      <c r="V51" s="96"/>
      <c r="W51" s="95"/>
      <c r="X51" s="95"/>
      <c r="Y51" s="97"/>
      <c r="Z51" s="91">
        <f t="shared" si="3"/>
        <v>0</v>
      </c>
      <c r="AA51" s="84"/>
      <c r="AB51" s="100"/>
      <c r="AC51" s="118"/>
      <c r="AD51" s="73"/>
    </row>
    <row r="52" spans="1:30" s="71" customFormat="1" ht="15.75" x14ac:dyDescent="0.25">
      <c r="A52" s="71" t="s">
        <v>184</v>
      </c>
      <c r="H52" s="107" t="s">
        <v>185</v>
      </c>
      <c r="I52" s="72">
        <f>COUNTIFS(I2:I51,"Yes")</f>
        <v>5</v>
      </c>
      <c r="J52" s="72"/>
      <c r="L52" s="72"/>
      <c r="N52" s="72"/>
      <c r="O52" s="72"/>
      <c r="R52" s="72"/>
      <c r="T52" s="72"/>
      <c r="AB52" s="102">
        <f>SUM(AB2:AB51)</f>
        <v>467600</v>
      </c>
      <c r="AC52" s="102">
        <f>SUM(AC2:AC51)</f>
        <v>231500</v>
      </c>
    </row>
  </sheetData>
  <autoFilter ref="A1:AD52" xr:uid="{1FAD2620-EA50-4346-961E-0C63AA11A9BA}">
    <sortState xmlns:xlrd2="http://schemas.microsoft.com/office/spreadsheetml/2017/richdata2" ref="A2:AD52">
      <sortCondition ref="D1:D52"/>
    </sortState>
  </autoFilter>
  <hyperlinks>
    <hyperlink ref="H5" r:id="rId1" display="https://saws.gsofsymposium.org/schedule-at-a-glance/" xr:uid="{B5FF86D3-F675-4F27-B592-256391CBB4C1}"/>
    <hyperlink ref="H37" r:id="rId2" location="/Exhibit" display="https://www.sofexjordan.com/ - /Exhibit" xr:uid="{3ABF7334-B93B-4168-A770-A4A799D5B0D3}"/>
    <hyperlink ref="H29" r:id="rId3" display="https://www.farnboroughairshow.com/" xr:uid="{646C77AC-62FD-44AE-8F8B-82543F4EBFFD}"/>
    <hyperlink ref="H45" r:id="rId4" display="https://www.siae.fr/en/" xr:uid="{42AB112B-8EF6-4E8F-870B-83814A1140FB}"/>
    <hyperlink ref="H28" r:id="rId5" display="https://publicsafetyaviation.org/apscon/" xr:uid="{9492CEDA-02BB-494D-A372-000AF81B02BF}"/>
    <hyperlink ref="H46" r:id="rId6" display="https://www.dubaiairshow.aero/en/dubai-airshow.html" xr:uid="{29EA31A0-BA50-497D-B21D-8BD760566F62}"/>
    <hyperlink ref="H43" r:id="rId7" display="https://www.egyptdefenceexpo.com/" xr:uid="{407A9534-BC82-492F-A46E-208BEEAE8067}"/>
    <hyperlink ref="H2" r:id="rId8" display="https://www.incose.org/events/international-workshop2026" xr:uid="{9670ACD4-3700-4E33-905C-94FEE255644E}"/>
    <hyperlink ref="H48" r:id="rId9" display="https://www.incose.org/events/international-symposium2026" xr:uid="{E3C25A0B-03B6-43CA-87D3-969723E3BB35}"/>
    <hyperlink ref="H3" r:id="rId10" display="https://www.worlddefenseshow.com/en" xr:uid="{3E2278C9-B906-492C-A1EA-CFD648713504}"/>
    <hyperlink ref="H26" r:id="rId11" display="https://digitalengineering.dsigroup.org/" xr:uid="{4C1EB187-8D4D-4F88-ADC8-7CA913FFE18F}"/>
    <hyperlink ref="H42" r:id="rId12" display="https://www.iitsec.org/" xr:uid="{89A92EA5-B706-47BA-8401-8FB3B10D90C1}"/>
    <hyperlink ref="H7" r:id="rId13" display="https://fires.dsigroup.org/" xr:uid="{B11B482E-B863-4AE1-9FB4-94B589A30719}"/>
    <hyperlink ref="H32" r:id="rId14" display="https://www.incose.org/events" xr:uid="{804F7C72-D817-4647-A7E4-C3F651098F9B}"/>
    <hyperlink ref="H24" r:id="rId15" display="https://ndiaffc.org/" xr:uid="{CF5D3AEF-6892-410D-B206-E772B927AEC4}"/>
    <hyperlink ref="H20" r:id="rId16" display="https://www.smgconferences.com/defence/northamerica/conference/loitering-munitions-usa" xr:uid="{92195B27-CD7F-4A73-8F14-EB166698AC85}"/>
    <hyperlink ref="H10" r:id="rId17" display="https://www.ndia.org/events/2026/3/17/munitions-executive-summit" xr:uid="{36C72FED-54C3-4859-9E3A-D7D6E10525BB}"/>
    <hyperlink ref="H6" r:id="rId18" display="https://www.ndia.org/events/2026/2/17/36th-annual-ndia-special-operations-symposium" xr:uid="{4E59E60A-00D7-4E57-BA72-9B2696018CCE}"/>
    <hyperlink ref="H36" r:id="rId19" display="https://www.aia-aerospace.org/events/2026-fall-board-of-governors-membership-meeting/" xr:uid="{1A1FD97E-89CC-4F5E-80B8-29CEC16C31A9}"/>
    <hyperlink ref="H22" r:id="rId20" display="https://www.aia-aerospace.org/events/2026-spring-board-of-governors-and-membership-meeting/" xr:uid="{C439E0D8-F789-4A45-A78E-A54068238B35}"/>
    <hyperlink ref="H31" r:id="rId21" display="https://smdsymposium.org/" xr:uid="{909E6E0B-C619-4130-997F-1309ED142CED}"/>
    <hyperlink ref="H4" r:id="rId22" display="https://saws.gsofsymposium.org/" xr:uid="{92A7B62D-8BAC-4B09-A655-A2408B23E740}"/>
    <hyperlink ref="H47" r:id="rId23" display="https://www.afa.org/afa-warfare-symposium/" xr:uid="{6644E484-9DDE-48CC-8992-785409C92910}"/>
    <hyperlink ref="H25" r:id="rId24" display="https://www.eurosatory.com/en/" xr:uid="{824C9CE3-DE3D-47AA-883E-9A0DFB87E55E}"/>
    <hyperlink ref="H41" r:id="rId25" display="https://www.quad-a.org/Public/Public/ContentAreas/Tagged-Content/AAAA-Events/AAAA-Cribbins-Futures-Forum.aspx" xr:uid="{97A9066D-D75E-4B65-B996-CE572AC76449}"/>
    <hyperlink ref="H40" r:id="rId26" display="https://s7.goeshow.com/aaaa/missionsolutions/2026/" xr:uid="{9FE82241-F013-4CE1-87DD-4C348786DC87}"/>
    <hyperlink ref="H8" r:id="rId27" display="https://verticon.org/?gad_source=1&amp;gad_campaignid=23341872156&amp;gclid=CjwKCAiAjc7KBhBvEiwAE2BDOZjjYRFaNMXlGA7pGdyzFdJkdaFALH2Padmg1M6av5AD5TSJQd2l5hoCO9EQAvD_BwE" xr:uid="{B4E21B39-1363-4F71-90AE-B96D7752A252}"/>
    <hyperlink ref="H14" r:id="rId28" display="https://seaairspace.org/" xr:uid="{7B9BF2B8-5C1D-49A4-92E9-BA20EE80AE9E}"/>
    <hyperlink ref="H16" r:id="rId29" display="https://marinemilitaryexpos.com/" xr:uid="{B73A3AC2-A345-4EA5-A23C-716831F59079}"/>
    <hyperlink ref="H21" r:id="rId30" display="https://sofweek.org/" xr:uid="{781802B3-F160-4FAB-AF37-7E6D6B927E9C}"/>
    <hyperlink ref="H33" r:id="rId31" display="https://www.afa.org/air-space-cyber-conference/" xr:uid="{6ACAB2E2-DFFA-4B98-9DCA-31782A6F0430}"/>
    <hyperlink ref="H11" r:id="rId32" display="https://www.ausa.org/tags/global-force" xr:uid="{82961817-7B94-4353-9617-851ADC99304F}"/>
    <hyperlink ref="H9" r:id="rId33" display="https://www.pbexpo.org/" xr:uid="{A113799A-38A3-451C-94E3-9225E91C09A6}"/>
    <hyperlink ref="H15" r:id="rId34" display="https://mroamericas.aviationweek.com/en/home.html" xr:uid="{067AC7D7-2FE7-45A7-99B9-6EFD8DBE196D}"/>
    <hyperlink ref="H30" r:id="rId35" display="https://www.eaa.org/airventure" xr:uid="{4C8DFFEF-494A-41A3-994B-9EA59B3FBACE}"/>
    <hyperlink ref="H17" r:id="rId36" display="https://acpc.com/" xr:uid="{C331008D-F42C-4D5D-A730-CDF90B60F4F2}"/>
    <hyperlink ref="H39" r:id="rId37" display="https://mroeurope.aviationweek.com/en/home.html" xr:uid="{46DD89CC-0DCC-4191-A054-0639200BA230}"/>
    <hyperlink ref="H34" r:id="rId38" display="https://www.imts.com/" xr:uid="{A07F6B05-6285-41B0-82C9-0BA9187DC7E5}"/>
    <hyperlink ref="H13" r:id="rId39" display="https://www.aerodefevent.com/" xr:uid="{3B1C9D32-A90B-4261-8C9A-AD8AEA698FCE}"/>
    <hyperlink ref="H19" r:id="rId40" display="https://mcaaconvention.org/" xr:uid="{3E6BDC51-51BF-46C8-9029-309D2F45A5B9}"/>
    <hyperlink ref="H44" r:id="rId41" display="https://defea.gr/" xr:uid="{8ADD5678-8A26-4D78-9BB8-E6C327041D20}"/>
  </hyperlinks>
  <pageMargins left="0.7" right="0.7" top="0.75" bottom="0.75" header="0.3" footer="0.3"/>
  <headerFooter>
    <oddFooter>&amp;C_x000D_&amp;1#&amp;"Calibri"&amp;14&amp;K000000 Public Content</oddFoot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EA4F08D-185B-4465-AE5D-B8C1DE6BCDD5}">
          <x14:formula1>
            <xm:f>'Data Lists'!$A$4:$A$8</xm:f>
          </x14:formula1>
          <xm:sqref>P2:Q44 J2:K44</xm:sqref>
        </x14:dataValidation>
        <x14:dataValidation type="list" allowBlank="1" showInputMessage="1" showErrorMessage="1" xr:uid="{4C30A97C-C415-4493-B6F2-0E206D2B035B}">
          <x14:formula1>
            <xm:f>'Data Lists'!$A$12:$A$23</xm:f>
          </x14:formula1>
          <xm:sqref>C2:C50</xm:sqref>
        </x14:dataValidation>
        <x14:dataValidation type="list" allowBlank="1" showInputMessage="1" showErrorMessage="1" xr:uid="{71244BFF-A03D-4DCB-A37E-F65BDDC2AED5}">
          <x14:formula1>
            <xm:f>'Data Lists'!$A$28:$A$33</xm:f>
          </x14:formula1>
          <xm:sqref>B2:B53</xm:sqref>
        </x14:dataValidation>
        <x14:dataValidation type="list" allowBlank="1" showInputMessage="1" showErrorMessage="1" xr:uid="{D171EB14-9C76-4AE5-AB19-51E709C808FB}">
          <x14:formula1>
            <xm:f>'Data Lists'!$R$3:$R$6</xm:f>
          </x14:formula1>
          <xm:sqref>O2:O51 I2:I51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CBB41-33EF-4410-9018-2FE5ECC359E1}">
  <dimension ref="A3:R32"/>
  <sheetViews>
    <sheetView workbookViewId="0">
      <selection activeCell="A29" sqref="A29"/>
    </sheetView>
  </sheetViews>
  <sheetFormatPr defaultRowHeight="15" x14ac:dyDescent="0.25"/>
  <cols>
    <col min="1" max="1" width="20.796875" customWidth="1"/>
  </cols>
  <sheetData>
    <row r="3" spans="1:18" x14ac:dyDescent="0.25">
      <c r="A3" s="65" t="s">
        <v>126</v>
      </c>
      <c r="B3" t="s">
        <v>136</v>
      </c>
      <c r="R3" t="s">
        <v>167</v>
      </c>
    </row>
    <row r="4" spans="1:18" x14ac:dyDescent="0.25">
      <c r="A4" t="s">
        <v>11</v>
      </c>
      <c r="B4" t="s">
        <v>129</v>
      </c>
      <c r="R4" t="s">
        <v>168</v>
      </c>
    </row>
    <row r="5" spans="1:18" x14ac:dyDescent="0.25">
      <c r="A5" t="s">
        <v>127</v>
      </c>
      <c r="B5" t="s">
        <v>130</v>
      </c>
    </row>
    <row r="6" spans="1:18" x14ac:dyDescent="0.25">
      <c r="A6" t="s">
        <v>128</v>
      </c>
      <c r="B6" t="s">
        <v>131</v>
      </c>
    </row>
    <row r="7" spans="1:18" x14ac:dyDescent="0.25">
      <c r="A7" t="s">
        <v>132</v>
      </c>
    </row>
    <row r="11" spans="1:18" x14ac:dyDescent="0.25">
      <c r="A11" s="65" t="s">
        <v>134</v>
      </c>
      <c r="B11" t="s">
        <v>137</v>
      </c>
    </row>
    <row r="12" spans="1:18" x14ac:dyDescent="0.25">
      <c r="A12" t="s">
        <v>135</v>
      </c>
    </row>
    <row r="13" spans="1:18" x14ac:dyDescent="0.25">
      <c r="A13" t="s">
        <v>138</v>
      </c>
    </row>
    <row r="14" spans="1:18" x14ac:dyDescent="0.25">
      <c r="A14" t="s">
        <v>139</v>
      </c>
    </row>
    <row r="15" spans="1:18" x14ac:dyDescent="0.25">
      <c r="A15" t="s">
        <v>111</v>
      </c>
    </row>
    <row r="16" spans="1:18" x14ac:dyDescent="0.25">
      <c r="A16" t="s">
        <v>49</v>
      </c>
    </row>
    <row r="17" spans="1:1" x14ac:dyDescent="0.25">
      <c r="A17" t="s">
        <v>38</v>
      </c>
    </row>
    <row r="18" spans="1:1" x14ac:dyDescent="0.25">
      <c r="A18" t="s">
        <v>23</v>
      </c>
    </row>
    <row r="19" spans="1:1" x14ac:dyDescent="0.25">
      <c r="A19" t="s">
        <v>140</v>
      </c>
    </row>
    <row r="20" spans="1:1" x14ac:dyDescent="0.25">
      <c r="A20" t="s">
        <v>141</v>
      </c>
    </row>
    <row r="21" spans="1:1" x14ac:dyDescent="0.25">
      <c r="A21" t="s">
        <v>142</v>
      </c>
    </row>
    <row r="22" spans="1:1" x14ac:dyDescent="0.25">
      <c r="A22" t="s">
        <v>95</v>
      </c>
    </row>
    <row r="27" spans="1:1" x14ac:dyDescent="0.25">
      <c r="A27" s="65" t="s">
        <v>2</v>
      </c>
    </row>
    <row r="28" spans="1:1" x14ac:dyDescent="0.25">
      <c r="A28" t="s">
        <v>263</v>
      </c>
    </row>
    <row r="29" spans="1:1" x14ac:dyDescent="0.25">
      <c r="A29" t="s">
        <v>38</v>
      </c>
    </row>
    <row r="30" spans="1:1" x14ac:dyDescent="0.25">
      <c r="A30" t="s">
        <v>23</v>
      </c>
    </row>
    <row r="31" spans="1:1" x14ac:dyDescent="0.25">
      <c r="A31" t="s">
        <v>95</v>
      </c>
    </row>
    <row r="32" spans="1:1" x14ac:dyDescent="0.25">
      <c r="A32" t="s">
        <v>142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F4851-0AAA-4E52-9D57-A87C6149CAB2}">
  <dimension ref="A1:M54"/>
  <sheetViews>
    <sheetView zoomScale="85" zoomScaleNormal="85" workbookViewId="0">
      <selection activeCell="G5" sqref="G5"/>
    </sheetView>
  </sheetViews>
  <sheetFormatPr defaultRowHeight="15" x14ac:dyDescent="0.25"/>
  <cols>
    <col min="1" max="1" width="47.09765625" customWidth="1"/>
    <col min="2" max="2" width="18.296875" customWidth="1"/>
    <col min="3" max="3" width="18.69921875" customWidth="1"/>
    <col min="4" max="4" width="14.8984375" customWidth="1"/>
    <col min="5" max="5" width="16.5" customWidth="1"/>
    <col min="6" max="6" width="15.8984375" customWidth="1"/>
    <col min="7" max="7" width="13.296875" customWidth="1"/>
    <col min="8" max="8" width="19.8984375" customWidth="1"/>
    <col min="9" max="9" width="28.796875" customWidth="1"/>
    <col min="10" max="10" width="11.8984375" customWidth="1"/>
    <col min="11" max="11" width="15.3984375" customWidth="1"/>
    <col min="12" max="12" width="19.8984375" customWidth="1"/>
    <col min="13" max="13" width="26.59765625" style="2" customWidth="1"/>
  </cols>
  <sheetData>
    <row r="1" spans="1:13" s="1" customFormat="1" x14ac:dyDescent="0.25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4" t="s">
        <v>8</v>
      </c>
      <c r="K1" s="3" t="s">
        <v>113</v>
      </c>
      <c r="L1" s="4" t="s">
        <v>92</v>
      </c>
      <c r="M1" s="5" t="s">
        <v>93</v>
      </c>
    </row>
    <row r="2" spans="1:13" x14ac:dyDescent="0.25">
      <c r="A2" s="119" t="s">
        <v>9</v>
      </c>
      <c r="B2" s="120" t="s">
        <v>10</v>
      </c>
      <c r="C2" s="120" t="s">
        <v>54</v>
      </c>
      <c r="D2" s="120" t="s">
        <v>11</v>
      </c>
      <c r="E2" s="120" t="s">
        <v>12</v>
      </c>
      <c r="F2" s="121">
        <v>16000</v>
      </c>
      <c r="G2" s="15">
        <v>3</v>
      </c>
      <c r="H2" s="16">
        <v>20000</v>
      </c>
      <c r="I2" s="17"/>
      <c r="K2" s="6">
        <v>20000</v>
      </c>
      <c r="L2" s="7" t="s">
        <v>116</v>
      </c>
      <c r="M2" s="8" t="s">
        <v>120</v>
      </c>
    </row>
    <row r="3" spans="1:13" x14ac:dyDescent="0.25">
      <c r="A3" s="119" t="s">
        <v>13</v>
      </c>
      <c r="B3" s="120" t="s">
        <v>14</v>
      </c>
      <c r="C3" s="120" t="s">
        <v>54</v>
      </c>
      <c r="D3" s="120" t="s">
        <v>11</v>
      </c>
      <c r="E3" s="120">
        <v>536</v>
      </c>
      <c r="F3" s="121">
        <v>15224</v>
      </c>
      <c r="G3" s="15">
        <v>3</v>
      </c>
      <c r="H3" s="16">
        <v>20000</v>
      </c>
      <c r="I3" s="18" t="s">
        <v>91</v>
      </c>
      <c r="K3" s="6">
        <v>5000</v>
      </c>
      <c r="L3" s="7" t="s">
        <v>116</v>
      </c>
      <c r="M3" s="8" t="s">
        <v>119</v>
      </c>
    </row>
    <row r="4" spans="1:13" x14ac:dyDescent="0.25">
      <c r="A4" s="119" t="s">
        <v>15</v>
      </c>
      <c r="B4" s="120" t="s">
        <v>16</v>
      </c>
      <c r="C4" s="120" t="s">
        <v>54</v>
      </c>
      <c r="D4" s="120" t="s">
        <v>11</v>
      </c>
      <c r="E4" s="120">
        <v>1608</v>
      </c>
      <c r="F4" s="121">
        <v>8000</v>
      </c>
      <c r="G4" s="15">
        <v>7</v>
      </c>
      <c r="H4" s="16">
        <v>20000</v>
      </c>
      <c r="I4" s="17"/>
      <c r="K4" s="6">
        <v>15000</v>
      </c>
      <c r="L4" s="7" t="s">
        <v>116</v>
      </c>
      <c r="M4" s="8" t="s">
        <v>120</v>
      </c>
    </row>
    <row r="5" spans="1:13" x14ac:dyDescent="0.25">
      <c r="A5" s="119" t="s">
        <v>17</v>
      </c>
      <c r="B5" s="120" t="s">
        <v>18</v>
      </c>
      <c r="C5" s="120" t="s">
        <v>54</v>
      </c>
      <c r="D5" s="120" t="s">
        <v>11</v>
      </c>
      <c r="E5" s="120">
        <v>2043</v>
      </c>
      <c r="F5" s="121">
        <v>6300</v>
      </c>
      <c r="G5" s="15">
        <v>3</v>
      </c>
      <c r="H5" s="16">
        <v>11000</v>
      </c>
      <c r="I5" s="17"/>
      <c r="K5" s="6">
        <v>11000</v>
      </c>
      <c r="L5" s="7" t="s">
        <v>116</v>
      </c>
      <c r="M5" s="8" t="s">
        <v>120</v>
      </c>
    </row>
    <row r="6" spans="1:13" x14ac:dyDescent="0.25">
      <c r="A6" s="19" t="s">
        <v>52</v>
      </c>
      <c r="B6" s="20" t="s">
        <v>72</v>
      </c>
      <c r="C6" s="15" t="s">
        <v>54</v>
      </c>
      <c r="D6" s="15" t="s">
        <v>24</v>
      </c>
      <c r="E6" s="15"/>
      <c r="F6" s="16">
        <v>5000</v>
      </c>
      <c r="G6" s="15">
        <v>2</v>
      </c>
      <c r="H6" s="16">
        <v>7500</v>
      </c>
      <c r="I6" s="17"/>
      <c r="K6" s="6">
        <v>0</v>
      </c>
      <c r="L6" s="7"/>
      <c r="M6" s="8"/>
    </row>
    <row r="7" spans="1:13" ht="30" x14ac:dyDescent="0.25">
      <c r="A7" s="21" t="s">
        <v>70</v>
      </c>
      <c r="B7" s="20" t="s">
        <v>71</v>
      </c>
      <c r="C7" s="22" t="s">
        <v>54</v>
      </c>
      <c r="D7" s="22" t="s">
        <v>24</v>
      </c>
      <c r="E7" s="15"/>
      <c r="F7" s="16"/>
      <c r="G7" s="15">
        <v>4</v>
      </c>
      <c r="H7" s="16">
        <v>5000</v>
      </c>
      <c r="I7" s="17"/>
      <c r="K7" s="6">
        <v>5000</v>
      </c>
      <c r="L7" s="7" t="s">
        <v>116</v>
      </c>
      <c r="M7" s="8" t="s">
        <v>121</v>
      </c>
    </row>
    <row r="8" spans="1:13" x14ac:dyDescent="0.25">
      <c r="A8" s="23"/>
      <c r="B8" s="24"/>
      <c r="C8" s="15"/>
      <c r="D8" s="15"/>
      <c r="E8" s="15"/>
      <c r="F8" s="16"/>
      <c r="G8" s="15"/>
      <c r="H8" s="16"/>
      <c r="I8" s="17"/>
      <c r="K8" s="6"/>
      <c r="L8" s="7"/>
      <c r="M8" s="39"/>
    </row>
    <row r="9" spans="1:13" x14ac:dyDescent="0.25">
      <c r="A9" s="25" t="s">
        <v>20</v>
      </c>
      <c r="B9" s="15"/>
      <c r="C9" s="15"/>
      <c r="D9" s="15"/>
      <c r="E9" s="15"/>
      <c r="F9" s="16"/>
      <c r="G9" s="15"/>
      <c r="H9" s="16"/>
      <c r="I9" s="17"/>
      <c r="K9" s="60"/>
      <c r="L9" s="61"/>
      <c r="M9" s="62"/>
    </row>
    <row r="10" spans="1:13" x14ac:dyDescent="0.25">
      <c r="A10" s="19" t="s">
        <v>21</v>
      </c>
      <c r="B10" s="15" t="s">
        <v>22</v>
      </c>
      <c r="C10" s="15" t="s">
        <v>23</v>
      </c>
      <c r="D10" s="15" t="s">
        <v>24</v>
      </c>
      <c r="E10" s="15" t="s">
        <v>39</v>
      </c>
      <c r="F10" s="16">
        <v>3000</v>
      </c>
      <c r="G10" s="15">
        <v>2</v>
      </c>
      <c r="H10" s="16">
        <v>6000</v>
      </c>
      <c r="I10" s="17"/>
      <c r="K10" s="60">
        <v>6000</v>
      </c>
      <c r="L10" s="61"/>
      <c r="M10" s="62"/>
    </row>
    <row r="11" spans="1:13" x14ac:dyDescent="0.25">
      <c r="A11" s="19" t="s">
        <v>25</v>
      </c>
      <c r="B11" s="15" t="s">
        <v>26</v>
      </c>
      <c r="C11" s="15" t="s">
        <v>23</v>
      </c>
      <c r="D11" s="15" t="s">
        <v>24</v>
      </c>
      <c r="E11" s="15" t="s">
        <v>39</v>
      </c>
      <c r="F11" s="16">
        <v>3000</v>
      </c>
      <c r="G11" s="15">
        <v>2</v>
      </c>
      <c r="H11" s="16">
        <v>6000</v>
      </c>
      <c r="I11" s="17"/>
      <c r="K11" s="60">
        <v>6000</v>
      </c>
      <c r="L11" s="61"/>
      <c r="M11" s="62"/>
    </row>
    <row r="12" spans="1:13" x14ac:dyDescent="0.25">
      <c r="A12" s="19" t="s">
        <v>27</v>
      </c>
      <c r="B12" s="15" t="s">
        <v>28</v>
      </c>
      <c r="C12" s="15" t="s">
        <v>23</v>
      </c>
      <c r="D12" s="15" t="s">
        <v>24</v>
      </c>
      <c r="E12" s="15" t="s">
        <v>39</v>
      </c>
      <c r="F12" s="16">
        <v>3000</v>
      </c>
      <c r="G12" s="15">
        <v>2</v>
      </c>
      <c r="H12" s="16">
        <v>6000</v>
      </c>
      <c r="I12" s="17"/>
      <c r="K12" s="60">
        <v>0</v>
      </c>
      <c r="L12" s="61"/>
      <c r="M12" s="62"/>
    </row>
    <row r="13" spans="1:13" x14ac:dyDescent="0.25">
      <c r="A13" s="19" t="s">
        <v>29</v>
      </c>
      <c r="B13" s="15" t="s">
        <v>30</v>
      </c>
      <c r="C13" s="15" t="s">
        <v>23</v>
      </c>
      <c r="D13" s="15" t="s">
        <v>24</v>
      </c>
      <c r="E13" s="15" t="s">
        <v>39</v>
      </c>
      <c r="F13" s="16">
        <v>1500</v>
      </c>
      <c r="G13" s="15">
        <v>2</v>
      </c>
      <c r="H13" s="16">
        <v>6000</v>
      </c>
      <c r="I13" s="17"/>
      <c r="K13" s="60">
        <v>12000</v>
      </c>
      <c r="L13" s="61"/>
      <c r="M13" s="62"/>
    </row>
    <row r="14" spans="1:13" x14ac:dyDescent="0.25">
      <c r="A14" s="23" t="s">
        <v>31</v>
      </c>
      <c r="B14" s="15" t="s">
        <v>32</v>
      </c>
      <c r="C14" s="15" t="s">
        <v>23</v>
      </c>
      <c r="D14" s="15" t="s">
        <v>24</v>
      </c>
      <c r="E14" s="15" t="s">
        <v>39</v>
      </c>
      <c r="F14" s="16">
        <v>6000</v>
      </c>
      <c r="G14" s="15">
        <v>1</v>
      </c>
      <c r="H14" s="16">
        <v>8000</v>
      </c>
      <c r="I14" s="17"/>
      <c r="K14" s="6">
        <v>0</v>
      </c>
      <c r="L14" s="7"/>
      <c r="M14" s="8"/>
    </row>
    <row r="15" spans="1:13" x14ac:dyDescent="0.25">
      <c r="A15" s="23" t="s">
        <v>33</v>
      </c>
      <c r="B15" s="15" t="s">
        <v>34</v>
      </c>
      <c r="C15" s="15" t="s">
        <v>23</v>
      </c>
      <c r="D15" s="15" t="s">
        <v>24</v>
      </c>
      <c r="E15" s="15" t="s">
        <v>39</v>
      </c>
      <c r="F15" s="16">
        <v>2500</v>
      </c>
      <c r="G15" s="15">
        <v>4</v>
      </c>
      <c r="H15" s="16">
        <v>10000</v>
      </c>
      <c r="I15" s="17"/>
      <c r="K15" s="6">
        <v>5000</v>
      </c>
      <c r="L15" s="7"/>
      <c r="M15" s="8"/>
    </row>
    <row r="16" spans="1:13" x14ac:dyDescent="0.25">
      <c r="A16" s="23" t="s">
        <v>50</v>
      </c>
      <c r="B16" s="15" t="s">
        <v>51</v>
      </c>
      <c r="C16" s="15" t="s">
        <v>23</v>
      </c>
      <c r="D16" s="15" t="s">
        <v>11</v>
      </c>
      <c r="E16" s="15" t="s">
        <v>46</v>
      </c>
      <c r="F16" s="16">
        <v>10000</v>
      </c>
      <c r="G16" s="15">
        <v>3</v>
      </c>
      <c r="H16" s="16">
        <v>15000</v>
      </c>
      <c r="I16" s="17"/>
      <c r="K16" s="6">
        <v>15000</v>
      </c>
      <c r="L16" s="7" t="s">
        <v>116</v>
      </c>
      <c r="M16" s="8" t="s">
        <v>118</v>
      </c>
    </row>
    <row r="17" spans="1:13" x14ac:dyDescent="0.25">
      <c r="A17" s="23"/>
      <c r="B17" s="15"/>
      <c r="C17" s="15"/>
      <c r="D17" s="15"/>
      <c r="E17" s="15"/>
      <c r="F17" s="16"/>
      <c r="G17" s="15"/>
      <c r="H17" s="16"/>
      <c r="I17" s="17"/>
      <c r="K17" s="6"/>
      <c r="L17" s="7"/>
      <c r="M17" s="39"/>
    </row>
    <row r="18" spans="1:13" x14ac:dyDescent="0.25">
      <c r="A18" s="25" t="s">
        <v>35</v>
      </c>
      <c r="B18" s="15"/>
      <c r="C18" s="15"/>
      <c r="D18" s="15"/>
      <c r="E18" s="15"/>
      <c r="F18" s="16"/>
      <c r="G18" s="15"/>
      <c r="H18" s="16"/>
      <c r="I18" s="17"/>
      <c r="K18" s="6"/>
      <c r="L18" s="7"/>
      <c r="M18" s="8"/>
    </row>
    <row r="19" spans="1:13" x14ac:dyDescent="0.25">
      <c r="A19" s="23" t="s">
        <v>40</v>
      </c>
      <c r="B19" s="15" t="s">
        <v>41</v>
      </c>
      <c r="C19" s="15" t="s">
        <v>38</v>
      </c>
      <c r="D19" s="15" t="s">
        <v>24</v>
      </c>
      <c r="E19" s="15" t="s">
        <v>39</v>
      </c>
      <c r="F19" s="16">
        <v>500</v>
      </c>
      <c r="G19" s="15">
        <v>2</v>
      </c>
      <c r="H19" s="16">
        <v>16500</v>
      </c>
      <c r="I19" s="17"/>
      <c r="K19" s="6">
        <v>0</v>
      </c>
      <c r="L19" s="7"/>
      <c r="M19" s="8"/>
    </row>
    <row r="20" spans="1:13" x14ac:dyDescent="0.25">
      <c r="A20" s="19" t="s">
        <v>42</v>
      </c>
      <c r="B20" s="15" t="s">
        <v>43</v>
      </c>
      <c r="C20" s="15" t="s">
        <v>38</v>
      </c>
      <c r="D20" s="15" t="s">
        <v>24</v>
      </c>
      <c r="E20" s="15" t="s">
        <v>39</v>
      </c>
      <c r="F20" s="16">
        <v>600</v>
      </c>
      <c r="G20" s="15">
        <v>2</v>
      </c>
      <c r="H20" s="16">
        <v>8600</v>
      </c>
      <c r="I20" s="17"/>
      <c r="K20" s="6">
        <v>5000</v>
      </c>
      <c r="L20" s="7"/>
      <c r="M20" s="8"/>
    </row>
    <row r="21" spans="1:13" x14ac:dyDescent="0.25">
      <c r="A21" s="19" t="s">
        <v>44</v>
      </c>
      <c r="B21" s="15" t="s">
        <v>45</v>
      </c>
      <c r="C21" s="15" t="s">
        <v>38</v>
      </c>
      <c r="D21" s="15" t="s">
        <v>24</v>
      </c>
      <c r="E21" s="15" t="s">
        <v>39</v>
      </c>
      <c r="F21" s="16">
        <v>3000</v>
      </c>
      <c r="G21" s="15">
        <v>3</v>
      </c>
      <c r="H21" s="16">
        <v>9000</v>
      </c>
      <c r="I21" s="17"/>
      <c r="K21" s="6">
        <v>5000</v>
      </c>
      <c r="L21" s="7"/>
      <c r="M21" s="8"/>
    </row>
    <row r="22" spans="1:13" x14ac:dyDescent="0.25">
      <c r="A22" s="19" t="s">
        <v>47</v>
      </c>
      <c r="B22" s="15" t="s">
        <v>48</v>
      </c>
      <c r="C22" s="15" t="s">
        <v>49</v>
      </c>
      <c r="D22" s="26" t="s">
        <v>11</v>
      </c>
      <c r="E22" s="15" t="s">
        <v>46</v>
      </c>
      <c r="F22" s="16">
        <v>25000</v>
      </c>
      <c r="G22" s="26">
        <v>4</v>
      </c>
      <c r="H22" s="16">
        <v>40000</v>
      </c>
      <c r="I22" s="17" t="s">
        <v>90</v>
      </c>
      <c r="K22" s="6">
        <v>20000</v>
      </c>
      <c r="L22" s="7" t="s">
        <v>116</v>
      </c>
      <c r="M22" s="8" t="s">
        <v>117</v>
      </c>
    </row>
    <row r="23" spans="1:13" x14ac:dyDescent="0.25">
      <c r="A23" s="27" t="s">
        <v>55</v>
      </c>
      <c r="B23" s="28" t="s">
        <v>56</v>
      </c>
      <c r="C23" s="15" t="s">
        <v>49</v>
      </c>
      <c r="D23" s="28" t="s">
        <v>24</v>
      </c>
      <c r="E23" s="28" t="s">
        <v>39</v>
      </c>
      <c r="F23" s="16">
        <v>1000</v>
      </c>
      <c r="G23" s="15">
        <v>1</v>
      </c>
      <c r="H23" s="16">
        <v>15000</v>
      </c>
      <c r="I23" s="17"/>
      <c r="K23" s="6">
        <v>0</v>
      </c>
      <c r="L23" s="7"/>
      <c r="M23" s="8"/>
    </row>
    <row r="24" spans="1:13" x14ac:dyDescent="0.25">
      <c r="A24" s="29" t="s">
        <v>57</v>
      </c>
      <c r="B24" s="28" t="s">
        <v>58</v>
      </c>
      <c r="C24" s="15" t="s">
        <v>49</v>
      </c>
      <c r="D24" s="28" t="s">
        <v>24</v>
      </c>
      <c r="E24" s="28" t="s">
        <v>39</v>
      </c>
      <c r="F24" s="16">
        <v>1000</v>
      </c>
      <c r="G24" s="15">
        <v>1</v>
      </c>
      <c r="H24" s="16">
        <v>15000</v>
      </c>
      <c r="I24" s="17"/>
      <c r="K24" s="6">
        <v>0</v>
      </c>
      <c r="L24" s="7"/>
      <c r="M24" s="8"/>
    </row>
    <row r="25" spans="1:13" x14ac:dyDescent="0.25">
      <c r="A25" s="29" t="s">
        <v>59</v>
      </c>
      <c r="B25" s="28" t="s">
        <v>60</v>
      </c>
      <c r="C25" s="15" t="s">
        <v>49</v>
      </c>
      <c r="D25" s="28" t="s">
        <v>24</v>
      </c>
      <c r="E25" s="28" t="s">
        <v>39</v>
      </c>
      <c r="F25" s="16">
        <v>1000</v>
      </c>
      <c r="G25" s="15">
        <v>1</v>
      </c>
      <c r="H25" s="16">
        <v>15000</v>
      </c>
      <c r="I25" s="17"/>
      <c r="K25" s="6">
        <v>0</v>
      </c>
      <c r="L25" s="7"/>
      <c r="M25" s="8"/>
    </row>
    <row r="26" spans="1:13" x14ac:dyDescent="0.25">
      <c r="A26" s="29" t="s">
        <v>61</v>
      </c>
      <c r="B26" s="28" t="s">
        <v>62</v>
      </c>
      <c r="C26" s="15" t="s">
        <v>49</v>
      </c>
      <c r="D26" s="28" t="s">
        <v>24</v>
      </c>
      <c r="E26" s="28" t="s">
        <v>39</v>
      </c>
      <c r="F26" s="16">
        <v>1000</v>
      </c>
      <c r="G26" s="15">
        <v>1</v>
      </c>
      <c r="H26" s="16">
        <v>15000</v>
      </c>
      <c r="I26" s="17"/>
      <c r="K26" s="6">
        <v>0</v>
      </c>
      <c r="L26" s="7"/>
      <c r="M26" s="8"/>
    </row>
    <row r="27" spans="1:13" x14ac:dyDescent="0.25">
      <c r="A27" s="29" t="s">
        <v>63</v>
      </c>
      <c r="B27" s="28" t="s">
        <v>64</v>
      </c>
      <c r="C27" s="15" t="s">
        <v>49</v>
      </c>
      <c r="D27" s="28" t="s">
        <v>24</v>
      </c>
      <c r="E27" s="28" t="s">
        <v>39</v>
      </c>
      <c r="F27" s="16">
        <v>1000</v>
      </c>
      <c r="G27" s="15">
        <v>2</v>
      </c>
      <c r="H27" s="16">
        <v>15000</v>
      </c>
      <c r="I27" s="17"/>
      <c r="K27" s="6">
        <v>0</v>
      </c>
      <c r="L27" s="7" t="s">
        <v>116</v>
      </c>
      <c r="M27" s="8"/>
    </row>
    <row r="28" spans="1:13" x14ac:dyDescent="0.25">
      <c r="A28" s="29" t="s">
        <v>65</v>
      </c>
      <c r="B28" s="28" t="s">
        <v>66</v>
      </c>
      <c r="C28" s="15" t="s">
        <v>49</v>
      </c>
      <c r="D28" s="28" t="s">
        <v>24</v>
      </c>
      <c r="E28" s="28" t="s">
        <v>39</v>
      </c>
      <c r="F28" s="16">
        <v>10000</v>
      </c>
      <c r="G28" s="15">
        <v>1</v>
      </c>
      <c r="H28" s="16">
        <v>15000</v>
      </c>
      <c r="I28" s="17"/>
      <c r="K28" s="6">
        <v>20000</v>
      </c>
      <c r="L28" s="7"/>
      <c r="M28" s="8"/>
    </row>
    <row r="29" spans="1:13" x14ac:dyDescent="0.25">
      <c r="A29" s="29" t="s">
        <v>67</v>
      </c>
      <c r="B29" s="28" t="s">
        <v>68</v>
      </c>
      <c r="C29" s="15" t="s">
        <v>49</v>
      </c>
      <c r="D29" s="28" t="s">
        <v>24</v>
      </c>
      <c r="E29" s="28" t="s">
        <v>39</v>
      </c>
      <c r="F29" s="16">
        <v>2000</v>
      </c>
      <c r="G29" s="15">
        <v>1</v>
      </c>
      <c r="H29" s="16">
        <v>15000</v>
      </c>
      <c r="I29" s="17"/>
      <c r="K29" s="6">
        <v>0</v>
      </c>
      <c r="L29" s="7"/>
      <c r="M29" s="8"/>
    </row>
    <row r="30" spans="1:13" x14ac:dyDescent="0.25">
      <c r="A30" s="44" t="s">
        <v>98</v>
      </c>
      <c r="B30" s="48" t="s">
        <v>105</v>
      </c>
      <c r="C30" s="47" t="s">
        <v>111</v>
      </c>
      <c r="D30" s="49" t="s">
        <v>24</v>
      </c>
      <c r="E30" s="49" t="s">
        <v>39</v>
      </c>
      <c r="F30" s="50"/>
      <c r="G30" s="48">
        <v>2</v>
      </c>
      <c r="H30" s="51">
        <v>7000</v>
      </c>
      <c r="I30" s="17"/>
      <c r="K30" s="6">
        <v>7000</v>
      </c>
      <c r="L30" s="7"/>
      <c r="M30" s="8"/>
    </row>
    <row r="31" spans="1:13" x14ac:dyDescent="0.25">
      <c r="A31" s="45" t="s">
        <v>99</v>
      </c>
      <c r="B31" s="52" t="s">
        <v>106</v>
      </c>
      <c r="C31" s="47" t="s">
        <v>111</v>
      </c>
      <c r="D31" s="49" t="s">
        <v>24</v>
      </c>
      <c r="E31" s="49" t="s">
        <v>39</v>
      </c>
      <c r="F31" s="50"/>
      <c r="G31" s="52">
        <v>4</v>
      </c>
      <c r="H31" s="53">
        <v>30000</v>
      </c>
      <c r="I31" s="17"/>
      <c r="K31" s="6"/>
      <c r="L31" s="7"/>
      <c r="M31" s="8"/>
    </row>
    <row r="32" spans="1:13" x14ac:dyDescent="0.25">
      <c r="A32" s="44" t="s">
        <v>100</v>
      </c>
      <c r="B32" s="54">
        <v>46143</v>
      </c>
      <c r="C32" s="47" t="s">
        <v>111</v>
      </c>
      <c r="D32" s="49" t="s">
        <v>24</v>
      </c>
      <c r="E32" s="49" t="s">
        <v>39</v>
      </c>
      <c r="F32" s="50"/>
      <c r="G32" s="48">
        <v>4</v>
      </c>
      <c r="H32" s="51">
        <v>20000</v>
      </c>
      <c r="I32" s="17"/>
      <c r="K32" s="6">
        <v>10000</v>
      </c>
      <c r="L32" s="7"/>
      <c r="M32" s="8"/>
    </row>
    <row r="33" spans="1:13" x14ac:dyDescent="0.25">
      <c r="A33" s="44" t="s">
        <v>101</v>
      </c>
      <c r="B33" s="48" t="s">
        <v>107</v>
      </c>
      <c r="C33" s="47" t="s">
        <v>111</v>
      </c>
      <c r="D33" s="49" t="s">
        <v>24</v>
      </c>
      <c r="E33" s="49" t="s">
        <v>39</v>
      </c>
      <c r="F33" s="50"/>
      <c r="G33" s="48">
        <v>2</v>
      </c>
      <c r="H33" s="55">
        <v>6000</v>
      </c>
      <c r="I33" s="17"/>
      <c r="K33" s="60">
        <v>12000</v>
      </c>
      <c r="L33" s="61"/>
      <c r="M33" s="62"/>
    </row>
    <row r="34" spans="1:13" x14ac:dyDescent="0.25">
      <c r="A34" s="44" t="s">
        <v>102</v>
      </c>
      <c r="B34" s="48" t="s">
        <v>108</v>
      </c>
      <c r="C34" s="47" t="s">
        <v>111</v>
      </c>
      <c r="D34" s="49" t="s">
        <v>24</v>
      </c>
      <c r="E34" s="49" t="s">
        <v>39</v>
      </c>
      <c r="F34" s="50"/>
      <c r="G34" s="48">
        <v>2</v>
      </c>
      <c r="H34" s="56">
        <v>7000</v>
      </c>
      <c r="I34" s="17"/>
      <c r="K34" s="6">
        <v>7000</v>
      </c>
      <c r="L34" s="7"/>
      <c r="M34" s="8"/>
    </row>
    <row r="35" spans="1:13" x14ac:dyDescent="0.25">
      <c r="A35" s="44" t="s">
        <v>103</v>
      </c>
      <c r="B35" s="48" t="s">
        <v>109</v>
      </c>
      <c r="C35" s="47" t="s">
        <v>111</v>
      </c>
      <c r="D35" s="49" t="s">
        <v>24</v>
      </c>
      <c r="E35" s="49" t="s">
        <v>39</v>
      </c>
      <c r="F35" s="50"/>
      <c r="G35" s="48">
        <v>2</v>
      </c>
      <c r="H35" s="56">
        <v>3500</v>
      </c>
      <c r="I35" s="17"/>
      <c r="K35" s="6"/>
      <c r="L35" s="7"/>
      <c r="M35" s="8"/>
    </row>
    <row r="36" spans="1:13" x14ac:dyDescent="0.25">
      <c r="A36" s="46" t="s">
        <v>104</v>
      </c>
      <c r="B36" s="57" t="s">
        <v>110</v>
      </c>
      <c r="C36" s="47" t="s">
        <v>111</v>
      </c>
      <c r="D36" s="49" t="s">
        <v>24</v>
      </c>
      <c r="E36" s="49" t="s">
        <v>39</v>
      </c>
      <c r="F36" s="50"/>
      <c r="G36" s="57">
        <v>3</v>
      </c>
      <c r="H36" s="58">
        <v>8500</v>
      </c>
      <c r="I36" s="17"/>
      <c r="K36" s="6">
        <v>8500</v>
      </c>
      <c r="L36" s="7"/>
      <c r="M36" s="8"/>
    </row>
    <row r="37" spans="1:13" x14ac:dyDescent="0.25">
      <c r="A37" s="27"/>
      <c r="B37" s="30"/>
      <c r="C37" s="28"/>
      <c r="D37" s="28"/>
      <c r="E37" s="15"/>
      <c r="F37" s="16"/>
      <c r="G37" s="15"/>
      <c r="H37" s="16"/>
      <c r="I37" s="17"/>
      <c r="K37" s="6"/>
      <c r="L37" s="7"/>
      <c r="M37" s="8"/>
    </row>
    <row r="38" spans="1:13" x14ac:dyDescent="0.25">
      <c r="A38" s="23"/>
      <c r="B38" s="15"/>
      <c r="C38" s="15"/>
      <c r="D38" s="15"/>
      <c r="E38" s="15"/>
      <c r="F38" s="16"/>
      <c r="G38" s="15"/>
      <c r="H38" s="16"/>
      <c r="I38" s="17"/>
      <c r="K38" s="6"/>
      <c r="L38" s="7"/>
      <c r="M38" s="39"/>
    </row>
    <row r="39" spans="1:13" x14ac:dyDescent="0.25">
      <c r="A39" s="25" t="s">
        <v>53</v>
      </c>
      <c r="B39" s="15"/>
      <c r="C39" s="15"/>
      <c r="D39" s="15"/>
      <c r="E39" s="15"/>
      <c r="F39" s="16"/>
      <c r="G39" s="15"/>
      <c r="H39" s="16"/>
      <c r="I39" s="17"/>
      <c r="K39" s="6"/>
      <c r="L39" s="7"/>
      <c r="M39" s="8"/>
    </row>
    <row r="40" spans="1:13" x14ac:dyDescent="0.25">
      <c r="A40" s="31" t="s">
        <v>36</v>
      </c>
      <c r="B40" s="15" t="s">
        <v>37</v>
      </c>
      <c r="C40" s="15" t="s">
        <v>69</v>
      </c>
      <c r="D40" s="15" t="s">
        <v>24</v>
      </c>
      <c r="E40" s="15" t="s">
        <v>39</v>
      </c>
      <c r="F40" s="16">
        <v>1100</v>
      </c>
      <c r="G40" s="15">
        <v>2</v>
      </c>
      <c r="H40" s="16">
        <v>8000</v>
      </c>
      <c r="I40" s="17"/>
      <c r="K40" s="6">
        <v>8000</v>
      </c>
      <c r="L40" s="7" t="s">
        <v>116</v>
      </c>
      <c r="M40" s="8"/>
    </row>
    <row r="41" spans="1:13" x14ac:dyDescent="0.25">
      <c r="A41" s="31" t="s">
        <v>19</v>
      </c>
      <c r="B41" s="20" t="s">
        <v>75</v>
      </c>
      <c r="C41" s="15" t="s">
        <v>69</v>
      </c>
      <c r="D41" s="15" t="s">
        <v>24</v>
      </c>
      <c r="E41" s="15" t="s">
        <v>39</v>
      </c>
      <c r="F41" s="16">
        <v>1000</v>
      </c>
      <c r="G41" s="15">
        <v>2</v>
      </c>
      <c r="H41" s="16">
        <v>4000</v>
      </c>
      <c r="I41" s="17"/>
      <c r="K41" s="6">
        <v>0</v>
      </c>
      <c r="L41" s="7"/>
      <c r="M41" s="8"/>
    </row>
    <row r="42" spans="1:13" x14ac:dyDescent="0.25">
      <c r="A42" s="21" t="s">
        <v>73</v>
      </c>
      <c r="B42" s="20" t="s">
        <v>74</v>
      </c>
      <c r="C42" s="15" t="s">
        <v>69</v>
      </c>
      <c r="D42" s="15" t="s">
        <v>24</v>
      </c>
      <c r="E42" s="15" t="s">
        <v>39</v>
      </c>
      <c r="F42" s="16">
        <v>1000</v>
      </c>
      <c r="G42" s="15">
        <v>2</v>
      </c>
      <c r="H42" s="16">
        <v>4000</v>
      </c>
      <c r="I42" s="17"/>
      <c r="K42" s="6">
        <v>0</v>
      </c>
      <c r="L42" s="7"/>
      <c r="M42" s="8"/>
    </row>
    <row r="43" spans="1:13" x14ac:dyDescent="0.25">
      <c r="A43" s="21" t="s">
        <v>76</v>
      </c>
      <c r="B43" s="20" t="s">
        <v>77</v>
      </c>
      <c r="C43" s="15" t="s">
        <v>69</v>
      </c>
      <c r="D43" s="15" t="s">
        <v>24</v>
      </c>
      <c r="E43" s="15" t="s">
        <v>39</v>
      </c>
      <c r="F43" s="16">
        <v>0</v>
      </c>
      <c r="G43" s="15">
        <v>4</v>
      </c>
      <c r="H43" s="16">
        <v>6000</v>
      </c>
      <c r="I43" s="17"/>
      <c r="K43" s="6">
        <v>0</v>
      </c>
      <c r="L43" s="7"/>
      <c r="M43" s="8"/>
    </row>
    <row r="44" spans="1:13" ht="16.5" x14ac:dyDescent="0.25">
      <c r="A44" s="21" t="s">
        <v>78</v>
      </c>
      <c r="B44" s="20" t="s">
        <v>79</v>
      </c>
      <c r="C44" s="15" t="s">
        <v>69</v>
      </c>
      <c r="D44" s="15" t="s">
        <v>24</v>
      </c>
      <c r="E44" s="15" t="s">
        <v>39</v>
      </c>
      <c r="F44" s="16">
        <v>1000</v>
      </c>
      <c r="G44" s="15">
        <v>2</v>
      </c>
      <c r="H44" s="16">
        <v>4000</v>
      </c>
      <c r="I44" s="17"/>
      <c r="K44" s="6">
        <v>4000</v>
      </c>
      <c r="L44" s="7" t="s">
        <v>116</v>
      </c>
      <c r="M44" s="8"/>
    </row>
    <row r="45" spans="1:13" x14ac:dyDescent="0.25">
      <c r="A45" s="21" t="s">
        <v>80</v>
      </c>
      <c r="B45" s="20" t="s">
        <v>81</v>
      </c>
      <c r="C45" s="15" t="s">
        <v>69</v>
      </c>
      <c r="D45" s="15" t="s">
        <v>24</v>
      </c>
      <c r="E45" s="15" t="s">
        <v>39</v>
      </c>
      <c r="F45" s="16">
        <v>0</v>
      </c>
      <c r="G45" s="15">
        <v>2</v>
      </c>
      <c r="H45" s="16">
        <v>4000</v>
      </c>
      <c r="I45" s="17"/>
      <c r="K45" s="6">
        <v>0</v>
      </c>
      <c r="L45" s="7"/>
      <c r="M45" s="8"/>
    </row>
    <row r="46" spans="1:13" x14ac:dyDescent="0.25">
      <c r="A46" s="32" t="s">
        <v>82</v>
      </c>
      <c r="B46" s="20" t="s">
        <v>83</v>
      </c>
      <c r="C46" s="15" t="s">
        <v>69</v>
      </c>
      <c r="D46" s="15" t="s">
        <v>11</v>
      </c>
      <c r="E46" s="15" t="s">
        <v>39</v>
      </c>
      <c r="F46" s="16">
        <v>5000</v>
      </c>
      <c r="G46" s="15">
        <v>3</v>
      </c>
      <c r="H46" s="16">
        <v>11000</v>
      </c>
      <c r="I46" s="17"/>
      <c r="K46" s="6">
        <v>11000</v>
      </c>
      <c r="L46" s="7" t="s">
        <v>116</v>
      </c>
      <c r="M46" s="8" t="s">
        <v>118</v>
      </c>
    </row>
    <row r="47" spans="1:13" x14ac:dyDescent="0.25">
      <c r="A47" s="21" t="s">
        <v>84</v>
      </c>
      <c r="B47" s="15"/>
      <c r="C47" s="15" t="s">
        <v>69</v>
      </c>
      <c r="D47" s="15" t="s">
        <v>24</v>
      </c>
      <c r="E47" s="15" t="s">
        <v>39</v>
      </c>
      <c r="F47" s="16">
        <v>1000</v>
      </c>
      <c r="G47" s="15">
        <v>2</v>
      </c>
      <c r="H47" s="16">
        <v>4000</v>
      </c>
      <c r="I47" s="17"/>
      <c r="K47" s="6">
        <v>4000</v>
      </c>
      <c r="L47" s="7"/>
      <c r="M47" s="8"/>
    </row>
    <row r="48" spans="1:13" x14ac:dyDescent="0.25">
      <c r="A48" s="21" t="s">
        <v>85</v>
      </c>
      <c r="B48" s="20" t="s">
        <v>88</v>
      </c>
      <c r="C48" s="15" t="s">
        <v>87</v>
      </c>
      <c r="D48" s="15" t="s">
        <v>24</v>
      </c>
      <c r="E48" s="15" t="s">
        <v>39</v>
      </c>
      <c r="F48" s="16">
        <v>2000</v>
      </c>
      <c r="G48" s="15">
        <v>4</v>
      </c>
      <c r="H48" s="16">
        <v>10000</v>
      </c>
      <c r="I48" s="17"/>
      <c r="K48" s="6">
        <v>5000</v>
      </c>
      <c r="L48" s="7"/>
      <c r="M48" s="8"/>
    </row>
    <row r="49" spans="1:13" x14ac:dyDescent="0.25">
      <c r="A49" s="32" t="s">
        <v>86</v>
      </c>
      <c r="B49" s="20" t="s">
        <v>89</v>
      </c>
      <c r="C49" s="15" t="s">
        <v>69</v>
      </c>
      <c r="D49" s="15" t="s">
        <v>24</v>
      </c>
      <c r="E49" s="15" t="s">
        <v>39</v>
      </c>
      <c r="F49" s="16">
        <v>1000</v>
      </c>
      <c r="G49" s="15">
        <v>2</v>
      </c>
      <c r="H49" s="16">
        <v>6000</v>
      </c>
      <c r="I49" s="17"/>
      <c r="K49" s="6">
        <v>0</v>
      </c>
      <c r="L49" s="7"/>
      <c r="M49" s="8"/>
    </row>
    <row r="50" spans="1:13" ht="15.75" thickBot="1" x14ac:dyDescent="0.3">
      <c r="A50" s="33" t="s">
        <v>94</v>
      </c>
      <c r="B50" s="34" t="s">
        <v>97</v>
      </c>
      <c r="C50" s="35" t="s">
        <v>95</v>
      </c>
      <c r="D50" s="35" t="s">
        <v>24</v>
      </c>
      <c r="E50" s="35" t="s">
        <v>39</v>
      </c>
      <c r="F50" s="36">
        <v>2000</v>
      </c>
      <c r="G50" s="35">
        <v>2</v>
      </c>
      <c r="H50" s="37">
        <v>5000</v>
      </c>
      <c r="I50" s="38"/>
      <c r="K50" s="9">
        <v>5000</v>
      </c>
      <c r="L50" s="10"/>
      <c r="M50" s="11"/>
    </row>
    <row r="51" spans="1:13" ht="30" x14ac:dyDescent="0.25">
      <c r="L51" s="63" t="s">
        <v>123</v>
      </c>
      <c r="M51" s="64" t="s">
        <v>122</v>
      </c>
    </row>
    <row r="52" spans="1:13" ht="60" x14ac:dyDescent="0.25">
      <c r="G52" s="1" t="s">
        <v>114</v>
      </c>
      <c r="H52" s="42">
        <f>SUM(H2:H50)</f>
        <v>467600</v>
      </c>
      <c r="I52" s="43" t="s">
        <v>96</v>
      </c>
      <c r="J52" s="1" t="s">
        <v>115</v>
      </c>
      <c r="K52" s="40">
        <v>231500</v>
      </c>
      <c r="M52" s="2" t="s">
        <v>124</v>
      </c>
    </row>
    <row r="53" spans="1:13" x14ac:dyDescent="0.25">
      <c r="K53" s="41" t="s">
        <v>112</v>
      </c>
    </row>
    <row r="54" spans="1:13" x14ac:dyDescent="0.25">
      <c r="K54" s="59"/>
    </row>
  </sheetData>
  <pageMargins left="0.7" right="0.7" top="0.75" bottom="0.75" header="0.3" footer="0.3"/>
  <headerFooter>
    <oddFooter>&amp;C_x000D_&amp;1#&amp;"Calibri"&amp;14&amp;K000000 Public Content</oddFooter>
  </headerFooter>
</worksheet>
</file>

<file path=docMetadata/LabelInfo.xml><?xml version="1.0" encoding="utf-8"?>
<clbl:labelList xmlns:clbl="http://schemas.microsoft.com/office/2020/mipLabelMetadata">
  <clbl:label id="{8542cf18-e12a-40db-9df3-580a9dfd5309}" enabled="1" method="Standard" siteId="{61e2692b-b9a2-4a3f-ac37-b8aeb7bdac8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Show List</vt:lpstr>
      <vt:lpstr>Data Lists</vt:lpstr>
      <vt:lpstr>Original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Abi Nowlin</dc:creator>
  <cp:keywords/>
  <dc:description/>
  <cp:lastModifiedBy>Greg James</cp:lastModifiedBy>
  <cp:revision/>
  <dcterms:created xsi:type="dcterms:W3CDTF">2025-09-29T14:14:24Z</dcterms:created>
  <dcterms:modified xsi:type="dcterms:W3CDTF">2026-01-08T00:09:45Z</dcterms:modified>
  <cp:category/>
  <cp:contentStatus/>
</cp:coreProperties>
</file>